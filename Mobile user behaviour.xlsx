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Riya Shukla\Documents\"/>
    </mc:Choice>
  </mc:AlternateContent>
  <xr:revisionPtr revIDLastSave="0" documentId="13_ncr:1_{F3D33FEC-9BF4-4844-AE1E-B16784C9E6C2}" xr6:coauthVersionLast="47" xr6:coauthVersionMax="47" xr10:uidLastSave="{00000000-0000-0000-0000-000000000000}"/>
  <bookViews>
    <workbookView xWindow="-108" yWindow="-108" windowWidth="23256" windowHeight="12456" activeTab="3" xr2:uid="{6F3D46D3-BA34-4194-8CCA-0F1610F2D507}"/>
  </bookViews>
  <sheets>
    <sheet name="Sheet1" sheetId="1" r:id="rId1"/>
    <sheet name="user_behavior_dataset" sheetId="2" r:id="rId2"/>
    <sheet name="Sheet2" sheetId="3" r:id="rId3"/>
    <sheet name="Sheet3" sheetId="4" r:id="rId4"/>
  </sheets>
  <definedNames>
    <definedName name="_xlcn.WorksheetConnection_Mobileuserbehaviour.xlsxuser_behavior_dataset1" hidden="1">user_behavior_dataset[]</definedName>
    <definedName name="ExternalData_1" localSheetId="1" hidden="1">user_behavior_dataset!$A$1:$L$701</definedName>
    <definedName name="Slicer_Gender">#N/A</definedName>
  </definedNames>
  <calcPr calcId="191029"/>
  <pivotCaches>
    <pivotCache cacheId="1229" r:id="rId5"/>
    <pivotCache cacheId="1909" r:id="rId6"/>
    <pivotCache cacheId="1912" r:id="rId7"/>
    <pivotCache cacheId="1915" r:id="rId8"/>
    <pivotCache cacheId="1918" r:id="rId9"/>
    <pivotCache cacheId="1921" r:id="rId10"/>
    <pivotCache cacheId="1924" r:id="rId11"/>
    <pivotCache cacheId="1927" r:id="rId12"/>
    <pivotCache cacheId="1930" r:id="rId13"/>
    <pivotCache cacheId="1933" r:id="rId14"/>
    <pivotCache cacheId="1936" r:id="rId15"/>
    <pivotCache cacheId="1939" r:id="rId16"/>
    <pivotCache cacheId="1942" r:id="rId17"/>
    <pivotCache cacheId="1945" r:id="rId18"/>
    <pivotCache cacheId="1948" r:id="rId19"/>
    <pivotCache cacheId="1951" r:id="rId20"/>
    <pivotCache cacheId="1954" r:id="rId21"/>
  </pivotCaches>
  <extLst>
    <ext xmlns:x14="http://schemas.microsoft.com/office/spreadsheetml/2009/9/main" uri="{876F7934-8845-4945-9796-88D515C7AA90}">
      <x14:pivotCaches>
        <pivotCache cacheId="415"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ser_behavior_dataset_1e2fa118-930e-4463-8ca7-045b4e4a6fbe" name="user_behavior_dataset" connection="Query - user_behavior_dataset"/>
          <x15:modelTable id="user_behavior_dataset 1" name="user_behavior_dataset 1" connection="WorksheetConnection_Mobile user behaviour.xlsx!user_behavior_dataset"/>
        </x15:modelTables>
      </x15:dataModel>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N4" i="2"/>
  <c r="N15" i="2"/>
  <c r="N32" i="2"/>
  <c r="N33" i="2"/>
  <c r="N36" i="2"/>
  <c r="N42" i="2"/>
  <c r="N46" i="2"/>
  <c r="N47" i="2"/>
  <c r="N52" i="2"/>
  <c r="N53" i="2"/>
  <c r="N55" i="2"/>
  <c r="N60" i="2"/>
  <c r="N62" i="2"/>
  <c r="N63" i="2"/>
  <c r="N64" i="2"/>
  <c r="N65" i="2"/>
  <c r="N69" i="2"/>
  <c r="N75" i="2"/>
  <c r="N77" i="2"/>
  <c r="N78" i="2"/>
  <c r="N84" i="2"/>
  <c r="N85" i="2"/>
  <c r="N90" i="2"/>
  <c r="N97" i="2"/>
  <c r="N105" i="2"/>
  <c r="N106" i="2"/>
  <c r="N107" i="2"/>
  <c r="N110" i="2"/>
  <c r="N113" i="2"/>
  <c r="N116" i="2"/>
  <c r="N130" i="2"/>
  <c r="N131" i="2"/>
  <c r="N133" i="2"/>
  <c r="N136" i="2"/>
  <c r="N139" i="2"/>
  <c r="N142" i="2"/>
  <c r="N149" i="2"/>
  <c r="N156" i="2"/>
  <c r="N157" i="2"/>
  <c r="N158" i="2"/>
  <c r="N159" i="2"/>
  <c r="N161" i="2"/>
  <c r="N163" i="2"/>
  <c r="N166" i="2"/>
  <c r="N167" i="2"/>
  <c r="N172" i="2"/>
  <c r="N176" i="2"/>
  <c r="N178" i="2"/>
  <c r="N180" i="2"/>
  <c r="N186" i="2"/>
  <c r="N201" i="2"/>
  <c r="N204" i="2"/>
  <c r="N207" i="2"/>
  <c r="N215" i="2"/>
  <c r="N221" i="2"/>
  <c r="N224" i="2"/>
  <c r="N227" i="2"/>
  <c r="N228" i="2"/>
  <c r="N234" i="2"/>
  <c r="N237" i="2"/>
  <c r="N243" i="2"/>
  <c r="N250" i="2"/>
  <c r="N255" i="2"/>
  <c r="N258" i="2"/>
  <c r="N259" i="2"/>
  <c r="N260" i="2"/>
  <c r="N261" i="2"/>
  <c r="N262" i="2"/>
  <c r="N267" i="2"/>
  <c r="N272" i="2"/>
  <c r="N278" i="2"/>
  <c r="N280" i="2"/>
  <c r="N283" i="2"/>
  <c r="N289" i="2"/>
  <c r="N295" i="2"/>
  <c r="N301" i="2"/>
  <c r="N302" i="2"/>
  <c r="N315" i="2"/>
  <c r="N325" i="2"/>
  <c r="N364" i="2"/>
  <c r="N366" i="2"/>
  <c r="N368" i="2"/>
  <c r="N390" i="2"/>
  <c r="N391" i="2"/>
  <c r="N397" i="2"/>
  <c r="N398" i="2"/>
  <c r="N402" i="2"/>
  <c r="N408" i="2"/>
  <c r="N413" i="2"/>
  <c r="N418" i="2"/>
  <c r="N420" i="2"/>
  <c r="N425" i="2"/>
  <c r="N430" i="2"/>
  <c r="N431" i="2"/>
  <c r="N437" i="2"/>
  <c r="N466" i="2"/>
  <c r="N470" i="2"/>
  <c r="N471" i="2"/>
  <c r="N473" i="2"/>
  <c r="N474" i="2"/>
  <c r="N476" i="2"/>
  <c r="N485" i="2"/>
  <c r="N487" i="2"/>
  <c r="N490" i="2"/>
  <c r="N494" i="2"/>
  <c r="N503" i="2"/>
  <c r="N504" i="2"/>
  <c r="N508" i="2"/>
  <c r="N509" i="2"/>
  <c r="N518" i="2"/>
  <c r="N524" i="2"/>
  <c r="N532" i="2"/>
  <c r="N535" i="2"/>
  <c r="N552" i="2"/>
  <c r="N557" i="2"/>
  <c r="N563" i="2"/>
  <c r="N566" i="2"/>
  <c r="N576" i="2"/>
  <c r="N588" i="2"/>
  <c r="N596" i="2"/>
  <c r="N598" i="2"/>
  <c r="N609" i="2"/>
  <c r="N610" i="2"/>
  <c r="N613" i="2"/>
  <c r="N614" i="2"/>
  <c r="N624" i="2"/>
  <c r="N630" i="2"/>
  <c r="N639" i="2"/>
  <c r="N647" i="2"/>
  <c r="N651" i="2"/>
  <c r="N654" i="2"/>
  <c r="N659" i="2"/>
  <c r="N660" i="2"/>
  <c r="N661" i="2"/>
  <c r="N663" i="2"/>
  <c r="N664" i="2"/>
  <c r="N666" i="2"/>
  <c r="N674" i="2"/>
  <c r="N676" i="2"/>
  <c r="N677" i="2"/>
  <c r="N683" i="2"/>
  <c r="N684" i="2"/>
  <c r="N687" i="2"/>
  <c r="N694" i="2"/>
  <c r="N695" i="2"/>
  <c r="N698" i="2"/>
  <c r="N2" i="2"/>
  <c r="N5" i="2"/>
  <c r="N7" i="2"/>
  <c r="N12" i="2"/>
  <c r="N17" i="2"/>
  <c r="N20" i="2"/>
  <c r="N25" i="2"/>
  <c r="N29" i="2"/>
  <c r="N34" i="2"/>
  <c r="N35" i="2"/>
  <c r="N50" i="2"/>
  <c r="N56" i="2"/>
  <c r="N71" i="2"/>
  <c r="N74" i="2"/>
  <c r="N79" i="2"/>
  <c r="N81" i="2"/>
  <c r="N86" i="2"/>
  <c r="N87" i="2"/>
  <c r="N92" i="2"/>
  <c r="N93" i="2"/>
  <c r="N100" i="2"/>
  <c r="N102" i="2"/>
  <c r="N104" i="2"/>
  <c r="N108" i="2"/>
  <c r="N109" i="2"/>
  <c r="N114" i="2"/>
  <c r="N121" i="2"/>
  <c r="N124" i="2"/>
  <c r="N125" i="2"/>
  <c r="N126" i="2"/>
  <c r="N129" i="2"/>
  <c r="N132" i="2"/>
  <c r="N134" i="2"/>
  <c r="N141" i="2"/>
  <c r="N143" i="2"/>
  <c r="N151" i="2"/>
  <c r="N154" i="2"/>
  <c r="N164" i="2"/>
  <c r="N168" i="2"/>
  <c r="N169" i="2"/>
  <c r="N170" i="2"/>
  <c r="N171" i="2"/>
  <c r="N173" i="2"/>
  <c r="N177" i="2"/>
  <c r="N183" i="2"/>
  <c r="N187" i="2"/>
  <c r="N193" i="2"/>
  <c r="N197" i="2"/>
  <c r="N205" i="2"/>
  <c r="N208" i="2"/>
  <c r="N209" i="2"/>
  <c r="N211" i="2"/>
  <c r="N242" i="2"/>
  <c r="N248" i="2"/>
  <c r="N249" i="2"/>
  <c r="N251" i="2"/>
  <c r="N254" i="2"/>
  <c r="N274" i="2"/>
  <c r="N275" i="2"/>
  <c r="N279" i="2"/>
  <c r="N285" i="2"/>
  <c r="N286" i="2"/>
  <c r="N291" i="2"/>
  <c r="N293" i="2"/>
  <c r="N294" i="2"/>
  <c r="N314" i="2"/>
  <c r="N319" i="2"/>
  <c r="N321" i="2"/>
  <c r="N323" i="2"/>
  <c r="N324" i="2"/>
  <c r="N332" i="2"/>
  <c r="N335" i="2"/>
  <c r="N350" i="2"/>
  <c r="N353" i="2"/>
  <c r="N354" i="2"/>
  <c r="N360" i="2"/>
  <c r="N373" i="2"/>
  <c r="N375" i="2"/>
  <c r="N379" i="2"/>
  <c r="N396" i="2"/>
  <c r="N403" i="2"/>
  <c r="N407" i="2"/>
  <c r="N411" i="2"/>
  <c r="N416" i="2"/>
  <c r="N434" i="2"/>
  <c r="N441" i="2"/>
  <c r="N442" i="2"/>
  <c r="N444" i="2"/>
  <c r="N451" i="2"/>
  <c r="N455" i="2"/>
  <c r="N469" i="2"/>
  <c r="N478" i="2"/>
  <c r="N491" i="2"/>
  <c r="N492" i="2"/>
  <c r="N497" i="2"/>
  <c r="N500" i="2"/>
  <c r="N502" i="2"/>
  <c r="N505" i="2"/>
  <c r="N506" i="2"/>
  <c r="N510" i="2"/>
  <c r="N512" i="2"/>
  <c r="N523" i="2"/>
  <c r="N528" i="2"/>
  <c r="N530" i="2"/>
  <c r="N531" i="2"/>
  <c r="N540" i="2"/>
  <c r="N544" i="2"/>
  <c r="N546" i="2"/>
  <c r="N550" i="2"/>
  <c r="N560" i="2"/>
  <c r="N564" i="2"/>
  <c r="N568" i="2"/>
  <c r="N570" i="2"/>
  <c r="N571" i="2"/>
  <c r="N573" i="2"/>
  <c r="N578" i="2"/>
  <c r="N585" i="2"/>
  <c r="N593" i="2"/>
  <c r="N615" i="2"/>
  <c r="N617" i="2"/>
  <c r="N619" i="2"/>
  <c r="N623" i="2"/>
  <c r="N632" i="2"/>
  <c r="N640" i="2"/>
  <c r="N641" i="2"/>
  <c r="N644" i="2"/>
  <c r="N646" i="2"/>
  <c r="N652" i="2"/>
  <c r="N656" i="2"/>
  <c r="N657" i="2"/>
  <c r="N658" i="2"/>
  <c r="N662" i="2"/>
  <c r="N665" i="2"/>
  <c r="N673" i="2"/>
  <c r="N675" i="2"/>
  <c r="N680" i="2"/>
  <c r="N682" i="2"/>
  <c r="N686" i="2"/>
  <c r="N688" i="2"/>
  <c r="N690" i="2"/>
  <c r="N692" i="2"/>
  <c r="N699" i="2"/>
  <c r="N8" i="2"/>
  <c r="N10" i="2"/>
  <c r="N22" i="2"/>
  <c r="N24" i="2"/>
  <c r="N27" i="2"/>
  <c r="N31" i="2"/>
  <c r="N37" i="2"/>
  <c r="N39" i="2"/>
  <c r="N41" i="2"/>
  <c r="N44" i="2"/>
  <c r="N45" i="2"/>
  <c r="N49" i="2"/>
  <c r="N54" i="2"/>
  <c r="N66" i="2"/>
  <c r="N72" i="2"/>
  <c r="N80" i="2"/>
  <c r="N88" i="2"/>
  <c r="N89" i="2"/>
  <c r="N91" i="2"/>
  <c r="N96" i="2"/>
  <c r="N115" i="2"/>
  <c r="N120" i="2"/>
  <c r="N122" i="2"/>
  <c r="N127" i="2"/>
  <c r="N135" i="2"/>
  <c r="N138" i="2"/>
  <c r="N140" i="2"/>
  <c r="N145" i="2"/>
  <c r="N148" i="2"/>
  <c r="N153" i="2"/>
  <c r="N160" i="2"/>
  <c r="N162" i="2"/>
  <c r="N179" i="2"/>
  <c r="N191" i="2"/>
  <c r="N196" i="2"/>
  <c r="N202" i="2"/>
  <c r="N212" i="2"/>
  <c r="N213" i="2"/>
  <c r="N214" i="2"/>
  <c r="N225" i="2"/>
  <c r="N230" i="2"/>
  <c r="N231" i="2"/>
  <c r="N238" i="2"/>
  <c r="N245" i="2"/>
  <c r="N247" i="2"/>
  <c r="N265" i="2"/>
  <c r="N270" i="2"/>
  <c r="N271" i="2"/>
  <c r="N281" i="2"/>
  <c r="N282" i="2"/>
  <c r="N288" i="2"/>
  <c r="N296" i="2"/>
  <c r="N312" i="2"/>
  <c r="N328" i="2"/>
  <c r="N336" i="2"/>
  <c r="N338" i="2"/>
  <c r="N339" i="2"/>
  <c r="N349" i="2"/>
  <c r="N351" i="2"/>
  <c r="N352" i="2"/>
  <c r="N355" i="2"/>
  <c r="N357" i="2"/>
  <c r="N361" i="2"/>
  <c r="N362" i="2"/>
  <c r="N374" i="2"/>
  <c r="N380" i="2"/>
  <c r="N386" i="2"/>
  <c r="N389" i="2"/>
  <c r="N394" i="2"/>
  <c r="N405" i="2"/>
  <c r="N410" i="2"/>
  <c r="N412" i="2"/>
  <c r="N419" i="2"/>
  <c r="N427" i="2"/>
  <c r="N443" i="2"/>
  <c r="N447" i="2"/>
  <c r="N449" i="2"/>
  <c r="N450" i="2"/>
  <c r="N452" i="2"/>
  <c r="N454" i="2"/>
  <c r="N462" i="2"/>
  <c r="N463" i="2"/>
  <c r="N464" i="2"/>
  <c r="N468" i="2"/>
  <c r="N472" i="2"/>
  <c r="N477" i="2"/>
  <c r="N481" i="2"/>
  <c r="N483" i="2"/>
  <c r="N496" i="2"/>
  <c r="N507" i="2"/>
  <c r="N513" i="2"/>
  <c r="N514" i="2"/>
  <c r="N516" i="2"/>
  <c r="N525" i="2"/>
  <c r="N526" i="2"/>
  <c r="N527" i="2"/>
  <c r="N537" i="2"/>
  <c r="N538" i="2"/>
  <c r="N539" i="2"/>
  <c r="N545" i="2"/>
  <c r="N551" i="2"/>
  <c r="N553" i="2"/>
  <c r="N555" i="2"/>
  <c r="N559" i="2"/>
  <c r="N562" i="2"/>
  <c r="N567" i="2"/>
  <c r="N575" i="2"/>
  <c r="N577" i="2"/>
  <c r="N581" i="2"/>
  <c r="N583" i="2"/>
  <c r="N589" i="2"/>
  <c r="N591" i="2"/>
  <c r="N592" i="2"/>
  <c r="N594" i="2"/>
  <c r="N595" i="2"/>
  <c r="N600" i="2"/>
  <c r="N601" i="2"/>
  <c r="N616" i="2"/>
  <c r="N621" i="2"/>
  <c r="N626" i="2"/>
  <c r="N633" i="2"/>
  <c r="N637" i="2"/>
  <c r="N642" i="2"/>
  <c r="N648" i="2"/>
  <c r="N655" i="2"/>
  <c r="N668" i="2"/>
  <c r="N669" i="2"/>
  <c r="N671" i="2"/>
  <c r="N679" i="2"/>
  <c r="N685" i="2"/>
  <c r="N691" i="2"/>
  <c r="N696" i="2"/>
  <c r="N700" i="2"/>
  <c r="N3" i="2"/>
  <c r="N9" i="2"/>
  <c r="N13" i="2"/>
  <c r="N14" i="2"/>
  <c r="N18" i="2"/>
  <c r="N23" i="2"/>
  <c r="N26" i="2"/>
  <c r="N30" i="2"/>
  <c r="N40" i="2"/>
  <c r="N43" i="2"/>
  <c r="N48" i="2"/>
  <c r="N51" i="2"/>
  <c r="N58" i="2"/>
  <c r="N59" i="2"/>
  <c r="N82" i="2"/>
  <c r="N99" i="2"/>
  <c r="N101" i="2"/>
  <c r="N103" i="2"/>
  <c r="N111" i="2"/>
  <c r="N112" i="2"/>
  <c r="N123" i="2"/>
  <c r="N150" i="2"/>
  <c r="N155" i="2"/>
  <c r="N174" i="2"/>
  <c r="N182" i="2"/>
  <c r="N189" i="2"/>
  <c r="N198" i="2"/>
  <c r="N199" i="2"/>
  <c r="N200" i="2"/>
  <c r="N206" i="2"/>
  <c r="N210" i="2"/>
  <c r="N217" i="2"/>
  <c r="N219" i="2"/>
  <c r="N222" i="2"/>
  <c r="N223" i="2"/>
  <c r="N226" i="2"/>
  <c r="N235" i="2"/>
  <c r="N239" i="2"/>
  <c r="N240" i="2"/>
  <c r="N244" i="2"/>
  <c r="N246" i="2"/>
  <c r="N252" i="2"/>
  <c r="N253" i="2"/>
  <c r="N256" i="2"/>
  <c r="N257" i="2"/>
  <c r="N269" i="2"/>
  <c r="N273" i="2"/>
  <c r="N277" i="2"/>
  <c r="N287" i="2"/>
  <c r="N290" i="2"/>
  <c r="N292" i="2"/>
  <c r="N297" i="2"/>
  <c r="N298" i="2"/>
  <c r="N307" i="2"/>
  <c r="N308" i="2"/>
  <c r="N309" i="2"/>
  <c r="N311" i="2"/>
  <c r="N317" i="2"/>
  <c r="N318" i="2"/>
  <c r="N320" i="2"/>
  <c r="N327" i="2"/>
  <c r="N329" i="2"/>
  <c r="N330" i="2"/>
  <c r="N334" i="2"/>
  <c r="N337" i="2"/>
  <c r="N348" i="2"/>
  <c r="N356" i="2"/>
  <c r="N363" i="2"/>
  <c r="N367" i="2"/>
  <c r="N369" i="2"/>
  <c r="N370" i="2"/>
  <c r="N376" i="2"/>
  <c r="N377" i="2"/>
  <c r="N381" i="2"/>
  <c r="N384" i="2"/>
  <c r="N385" i="2"/>
  <c r="N388" i="2"/>
  <c r="N392" i="2"/>
  <c r="N393" i="2"/>
  <c r="N400" i="2"/>
  <c r="N401" i="2"/>
  <c r="N409" i="2"/>
  <c r="N414" i="2"/>
  <c r="N426" i="2"/>
  <c r="N428" i="2"/>
  <c r="N429" i="2"/>
  <c r="N435" i="2"/>
  <c r="N438" i="2"/>
  <c r="N440" i="2"/>
  <c r="N448" i="2"/>
  <c r="N453" i="2"/>
  <c r="N459" i="2"/>
  <c r="N461" i="2"/>
  <c r="N467" i="2"/>
  <c r="N480" i="2"/>
  <c r="N495" i="2"/>
  <c r="N515" i="2"/>
  <c r="N517" i="2"/>
  <c r="N520" i="2"/>
  <c r="N521" i="2"/>
  <c r="N522" i="2"/>
  <c r="N533" i="2"/>
  <c r="N536" i="2"/>
  <c r="N541" i="2"/>
  <c r="N547" i="2"/>
  <c r="N548" i="2"/>
  <c r="N561" i="2"/>
  <c r="N569" i="2"/>
  <c r="N572" i="2"/>
  <c r="N574" i="2"/>
  <c r="N580" i="2"/>
  <c r="N586" i="2"/>
  <c r="N587" i="2"/>
  <c r="N590" i="2"/>
  <c r="N597" i="2"/>
  <c r="N599" i="2"/>
  <c r="N603" i="2"/>
  <c r="N604" i="2"/>
  <c r="N605" i="2"/>
  <c r="N606" i="2"/>
  <c r="N607" i="2"/>
  <c r="N608" i="2"/>
  <c r="N618" i="2"/>
  <c r="N620" i="2"/>
  <c r="N625" i="2"/>
  <c r="N627" i="2"/>
  <c r="N635" i="2"/>
  <c r="N638" i="2"/>
  <c r="N643" i="2"/>
  <c r="N645" i="2"/>
  <c r="N678" i="2"/>
  <c r="N689" i="2"/>
  <c r="N701" i="2"/>
  <c r="N6" i="2"/>
  <c r="N11" i="2"/>
  <c r="N16" i="2"/>
  <c r="N19" i="2"/>
  <c r="N21" i="2"/>
  <c r="N28" i="2"/>
  <c r="N38" i="2"/>
  <c r="N57" i="2"/>
  <c r="N61" i="2"/>
  <c r="N67" i="2"/>
  <c r="N68" i="2"/>
  <c r="N70" i="2"/>
  <c r="N73" i="2"/>
  <c r="N76" i="2"/>
  <c r="N83" i="2"/>
  <c r="N94" i="2"/>
  <c r="N95" i="2"/>
  <c r="N98" i="2"/>
  <c r="N117" i="2"/>
  <c r="N118" i="2"/>
  <c r="N119" i="2"/>
  <c r="N128" i="2"/>
  <c r="N137" i="2"/>
  <c r="N144" i="2"/>
  <c r="N146" i="2"/>
  <c r="N147" i="2"/>
  <c r="N152" i="2"/>
  <c r="N165" i="2"/>
  <c r="N175" i="2"/>
  <c r="N181" i="2"/>
  <c r="N184" i="2"/>
  <c r="N185" i="2"/>
  <c r="N188" i="2"/>
  <c r="N190" i="2"/>
  <c r="N192" i="2"/>
  <c r="N194" i="2"/>
  <c r="N195" i="2"/>
  <c r="N203" i="2"/>
  <c r="N216" i="2"/>
  <c r="N218" i="2"/>
  <c r="N220" i="2"/>
  <c r="N229" i="2"/>
  <c r="N232" i="2"/>
  <c r="N233" i="2"/>
  <c r="N236" i="2"/>
  <c r="N241" i="2"/>
  <c r="N263" i="2"/>
  <c r="N264" i="2"/>
  <c r="N266" i="2"/>
  <c r="N268" i="2"/>
  <c r="N276" i="2"/>
  <c r="N284" i="2"/>
  <c r="N299" i="2"/>
  <c r="N300" i="2"/>
  <c r="N303" i="2"/>
  <c r="N304" i="2"/>
  <c r="N305" i="2"/>
  <c r="N306" i="2"/>
  <c r="N310" i="2"/>
  <c r="N313" i="2"/>
  <c r="N316" i="2"/>
  <c r="N322" i="2"/>
  <c r="N326" i="2"/>
  <c r="N331" i="2"/>
  <c r="N333" i="2"/>
  <c r="N340" i="2"/>
  <c r="N341" i="2"/>
  <c r="N342" i="2"/>
  <c r="N343" i="2"/>
  <c r="N344" i="2"/>
  <c r="N345" i="2"/>
  <c r="N346" i="2"/>
  <c r="N347" i="2"/>
  <c r="N358" i="2"/>
  <c r="N359" i="2"/>
  <c r="N365" i="2"/>
  <c r="N371" i="2"/>
  <c r="N372" i="2"/>
  <c r="N378" i="2"/>
  <c r="N382" i="2"/>
  <c r="N383" i="2"/>
  <c r="N387" i="2"/>
  <c r="N395" i="2"/>
  <c r="N399" i="2"/>
  <c r="N404" i="2"/>
  <c r="N406" i="2"/>
  <c r="N415" i="2"/>
  <c r="N417" i="2"/>
  <c r="N421" i="2"/>
  <c r="N422" i="2"/>
  <c r="N423" i="2"/>
  <c r="N424" i="2"/>
  <c r="N432" i="2"/>
  <c r="N433" i="2"/>
  <c r="N436" i="2"/>
  <c r="N439" i="2"/>
  <c r="N445" i="2"/>
  <c r="N446" i="2"/>
  <c r="N456" i="2"/>
  <c r="N457" i="2"/>
  <c r="N458" i="2"/>
  <c r="N460" i="2"/>
  <c r="N465" i="2"/>
  <c r="N475" i="2"/>
  <c r="N479" i="2"/>
  <c r="N482" i="2"/>
  <c r="N484" i="2"/>
  <c r="N486" i="2"/>
  <c r="N488" i="2"/>
  <c r="N489" i="2"/>
  <c r="N493" i="2"/>
  <c r="N498" i="2"/>
  <c r="N499" i="2"/>
  <c r="N501" i="2"/>
  <c r="N511" i="2"/>
  <c r="N519" i="2"/>
  <c r="N529" i="2"/>
  <c r="N534" i="2"/>
  <c r="N542" i="2"/>
  <c r="N543" i="2"/>
  <c r="N549" i="2"/>
  <c r="N554" i="2"/>
  <c r="N556" i="2"/>
  <c r="N558" i="2"/>
  <c r="N565" i="2"/>
  <c r="N579" i="2"/>
  <c r="N582" i="2"/>
  <c r="N584" i="2"/>
  <c r="N602" i="2"/>
  <c r="N611" i="2"/>
  <c r="N612" i="2"/>
  <c r="N622" i="2"/>
  <c r="N628" i="2"/>
  <c r="N629" i="2"/>
  <c r="N631" i="2"/>
  <c r="N634" i="2"/>
  <c r="N636" i="2"/>
  <c r="N649" i="2"/>
  <c r="N650" i="2"/>
  <c r="N653" i="2"/>
  <c r="N667" i="2"/>
  <c r="N670" i="2"/>
  <c r="N672" i="2"/>
  <c r="N681" i="2"/>
  <c r="N693" i="2"/>
  <c r="N697" i="2"/>
  <c r="O4" i="2"/>
  <c r="O15" i="2"/>
  <c r="O32" i="2"/>
  <c r="O33" i="2"/>
  <c r="O36" i="2"/>
  <c r="O42" i="2"/>
  <c r="O46" i="2"/>
  <c r="O47" i="2"/>
  <c r="O52" i="2"/>
  <c r="O53" i="2"/>
  <c r="O55" i="2"/>
  <c r="O60" i="2"/>
  <c r="O62" i="2"/>
  <c r="O63" i="2"/>
  <c r="O64" i="2"/>
  <c r="O65" i="2"/>
  <c r="O69" i="2"/>
  <c r="O75" i="2"/>
  <c r="O77" i="2"/>
  <c r="O78" i="2"/>
  <c r="O84" i="2"/>
  <c r="O85" i="2"/>
  <c r="O90" i="2"/>
  <c r="O97" i="2"/>
  <c r="O105" i="2"/>
  <c r="O106" i="2"/>
  <c r="O107" i="2"/>
  <c r="O110" i="2"/>
  <c r="O113" i="2"/>
  <c r="O116" i="2"/>
  <c r="O130" i="2"/>
  <c r="O131" i="2"/>
  <c r="O133" i="2"/>
  <c r="O136" i="2"/>
  <c r="O139" i="2"/>
  <c r="O142" i="2"/>
  <c r="O149" i="2"/>
  <c r="O156" i="2"/>
  <c r="O157" i="2"/>
  <c r="O158" i="2"/>
  <c r="O159" i="2"/>
  <c r="O161" i="2"/>
  <c r="O163" i="2"/>
  <c r="O166" i="2"/>
  <c r="O167" i="2"/>
  <c r="O172" i="2"/>
  <c r="O176" i="2"/>
  <c r="O178" i="2"/>
  <c r="O180" i="2"/>
  <c r="O186" i="2"/>
  <c r="O201" i="2"/>
  <c r="O204" i="2"/>
  <c r="O207" i="2"/>
  <c r="O215" i="2"/>
  <c r="O221" i="2"/>
  <c r="O224" i="2"/>
  <c r="O227" i="2"/>
  <c r="O228" i="2"/>
  <c r="O234" i="2"/>
  <c r="O237" i="2"/>
  <c r="O243" i="2"/>
  <c r="O250" i="2"/>
  <c r="O255" i="2"/>
  <c r="O258" i="2"/>
  <c r="O259" i="2"/>
  <c r="O260" i="2"/>
  <c r="O261" i="2"/>
  <c r="O262" i="2"/>
  <c r="O267" i="2"/>
  <c r="O272" i="2"/>
  <c r="O278" i="2"/>
  <c r="O280" i="2"/>
  <c r="O283" i="2"/>
  <c r="O289" i="2"/>
  <c r="O295" i="2"/>
  <c r="O301" i="2"/>
  <c r="O302" i="2"/>
  <c r="O315" i="2"/>
  <c r="O325" i="2"/>
  <c r="O364" i="2"/>
  <c r="O366" i="2"/>
  <c r="O368" i="2"/>
  <c r="O390" i="2"/>
  <c r="O391" i="2"/>
  <c r="O397" i="2"/>
  <c r="O398" i="2"/>
  <c r="O402" i="2"/>
  <c r="O408" i="2"/>
  <c r="O413" i="2"/>
  <c r="O418" i="2"/>
  <c r="O420" i="2"/>
  <c r="O425" i="2"/>
  <c r="O430" i="2"/>
  <c r="O431" i="2"/>
  <c r="O437" i="2"/>
  <c r="O466" i="2"/>
  <c r="O470" i="2"/>
  <c r="O471" i="2"/>
  <c r="O473" i="2"/>
  <c r="O474" i="2"/>
  <c r="O476" i="2"/>
  <c r="O485" i="2"/>
  <c r="O487" i="2"/>
  <c r="O490" i="2"/>
  <c r="O494" i="2"/>
  <c r="O503" i="2"/>
  <c r="O504" i="2"/>
  <c r="O508" i="2"/>
  <c r="O509" i="2"/>
  <c r="O518" i="2"/>
  <c r="O524" i="2"/>
  <c r="O532" i="2"/>
  <c r="O535" i="2"/>
  <c r="O552" i="2"/>
  <c r="O557" i="2"/>
  <c r="O563" i="2"/>
  <c r="O566" i="2"/>
  <c r="O576" i="2"/>
  <c r="O588" i="2"/>
  <c r="O596" i="2"/>
  <c r="O598" i="2"/>
  <c r="O609" i="2"/>
  <c r="O610" i="2"/>
  <c r="O613" i="2"/>
  <c r="O614" i="2"/>
  <c r="O624" i="2"/>
  <c r="O630" i="2"/>
  <c r="O639" i="2"/>
  <c r="O647" i="2"/>
  <c r="O651" i="2"/>
  <c r="O654" i="2"/>
  <c r="O659" i="2"/>
  <c r="O660" i="2"/>
  <c r="O661" i="2"/>
  <c r="O663" i="2"/>
  <c r="O664" i="2"/>
  <c r="O666" i="2"/>
  <c r="O674" i="2"/>
  <c r="O676" i="2"/>
  <c r="O677" i="2"/>
  <c r="O683" i="2"/>
  <c r="O684" i="2"/>
  <c r="O687" i="2"/>
  <c r="O694" i="2"/>
  <c r="O695" i="2"/>
  <c r="O698" i="2"/>
  <c r="O2" i="2"/>
  <c r="O5" i="2"/>
  <c r="O7" i="2"/>
  <c r="O12" i="2"/>
  <c r="O17" i="2"/>
  <c r="O20" i="2"/>
  <c r="O25" i="2"/>
  <c r="O29" i="2"/>
  <c r="O34" i="2"/>
  <c r="O35" i="2"/>
  <c r="O50" i="2"/>
  <c r="O56" i="2"/>
  <c r="O71" i="2"/>
  <c r="O74" i="2"/>
  <c r="O79" i="2"/>
  <c r="O81" i="2"/>
  <c r="O86" i="2"/>
  <c r="O87" i="2"/>
  <c r="O92" i="2"/>
  <c r="O93" i="2"/>
  <c r="O100" i="2"/>
  <c r="O102" i="2"/>
  <c r="O104" i="2"/>
  <c r="O108" i="2"/>
  <c r="O109" i="2"/>
  <c r="O114" i="2"/>
  <c r="O121" i="2"/>
  <c r="O124" i="2"/>
  <c r="O125" i="2"/>
  <c r="O126" i="2"/>
  <c r="O129" i="2"/>
  <c r="O132" i="2"/>
  <c r="O134" i="2"/>
  <c r="O141" i="2"/>
  <c r="O143" i="2"/>
  <c r="O151" i="2"/>
  <c r="O154" i="2"/>
  <c r="O164" i="2"/>
  <c r="O168" i="2"/>
  <c r="O169" i="2"/>
  <c r="O170" i="2"/>
  <c r="O171" i="2"/>
  <c r="O173" i="2"/>
  <c r="O177" i="2"/>
  <c r="O183" i="2"/>
  <c r="O187" i="2"/>
  <c r="O193" i="2"/>
  <c r="O197" i="2"/>
  <c r="O205" i="2"/>
  <c r="O208" i="2"/>
  <c r="O209" i="2"/>
  <c r="O211" i="2"/>
  <c r="O242" i="2"/>
  <c r="O248" i="2"/>
  <c r="O249" i="2"/>
  <c r="O251" i="2"/>
  <c r="O254" i="2"/>
  <c r="O274" i="2"/>
  <c r="O275" i="2"/>
  <c r="O279" i="2"/>
  <c r="O285" i="2"/>
  <c r="O286" i="2"/>
  <c r="O291" i="2"/>
  <c r="O293" i="2"/>
  <c r="O294" i="2"/>
  <c r="O314" i="2"/>
  <c r="O319" i="2"/>
  <c r="O321" i="2"/>
  <c r="O323" i="2"/>
  <c r="O324" i="2"/>
  <c r="O332" i="2"/>
  <c r="O335" i="2"/>
  <c r="O350" i="2"/>
  <c r="O353" i="2"/>
  <c r="O354" i="2"/>
  <c r="O360" i="2"/>
  <c r="O373" i="2"/>
  <c r="O375" i="2"/>
  <c r="O379" i="2"/>
  <c r="O396" i="2"/>
  <c r="O403" i="2"/>
  <c r="O407" i="2"/>
  <c r="O411" i="2"/>
  <c r="O416" i="2"/>
  <c r="O434" i="2"/>
  <c r="O441" i="2"/>
  <c r="O442" i="2"/>
  <c r="O444" i="2"/>
  <c r="O451" i="2"/>
  <c r="O455" i="2"/>
  <c r="O469" i="2"/>
  <c r="O478" i="2"/>
  <c r="O491" i="2"/>
  <c r="O492" i="2"/>
  <c r="O497" i="2"/>
  <c r="O500" i="2"/>
  <c r="O502" i="2"/>
  <c r="O505" i="2"/>
  <c r="O506" i="2"/>
  <c r="O510" i="2"/>
  <c r="O512" i="2"/>
  <c r="O523" i="2"/>
  <c r="O528" i="2"/>
  <c r="O530" i="2"/>
  <c r="O531" i="2"/>
  <c r="O540" i="2"/>
  <c r="O544" i="2"/>
  <c r="O546" i="2"/>
  <c r="O550" i="2"/>
  <c r="O560" i="2"/>
  <c r="O564" i="2"/>
  <c r="O568" i="2"/>
  <c r="O570" i="2"/>
  <c r="O571" i="2"/>
  <c r="O573" i="2"/>
  <c r="O578" i="2"/>
  <c r="O585" i="2"/>
  <c r="O593" i="2"/>
  <c r="O615" i="2"/>
  <c r="O617" i="2"/>
  <c r="O619" i="2"/>
  <c r="O623" i="2"/>
  <c r="O632" i="2"/>
  <c r="O640" i="2"/>
  <c r="O641" i="2"/>
  <c r="O644" i="2"/>
  <c r="O646" i="2"/>
  <c r="O652" i="2"/>
  <c r="O656" i="2"/>
  <c r="O657" i="2"/>
  <c r="O658" i="2"/>
  <c r="O662" i="2"/>
  <c r="O665" i="2"/>
  <c r="O673" i="2"/>
  <c r="O675" i="2"/>
  <c r="O680" i="2"/>
  <c r="O682" i="2"/>
  <c r="O686" i="2"/>
  <c r="O688" i="2"/>
  <c r="O690" i="2"/>
  <c r="O692" i="2"/>
  <c r="O699" i="2"/>
  <c r="O8" i="2"/>
  <c r="O10" i="2"/>
  <c r="O22" i="2"/>
  <c r="O24" i="2"/>
  <c r="O27" i="2"/>
  <c r="O31" i="2"/>
  <c r="O37" i="2"/>
  <c r="O39" i="2"/>
  <c r="O41" i="2"/>
  <c r="O44" i="2"/>
  <c r="O45" i="2"/>
  <c r="O49" i="2"/>
  <c r="O54" i="2"/>
  <c r="O66" i="2"/>
  <c r="O72" i="2"/>
  <c r="O80" i="2"/>
  <c r="O88" i="2"/>
  <c r="O89" i="2"/>
  <c r="O91" i="2"/>
  <c r="O96" i="2"/>
  <c r="O115" i="2"/>
  <c r="O120" i="2"/>
  <c r="O122" i="2"/>
  <c r="O127" i="2"/>
  <c r="O135" i="2"/>
  <c r="O138" i="2"/>
  <c r="O140" i="2"/>
  <c r="O145" i="2"/>
  <c r="O148" i="2"/>
  <c r="O153" i="2"/>
  <c r="O160" i="2"/>
  <c r="O162" i="2"/>
  <c r="O179" i="2"/>
  <c r="O191" i="2"/>
  <c r="O196" i="2"/>
  <c r="O202" i="2"/>
  <c r="O212" i="2"/>
  <c r="O213" i="2"/>
  <c r="O214" i="2"/>
  <c r="O225" i="2"/>
  <c r="O230" i="2"/>
  <c r="O231" i="2"/>
  <c r="O238" i="2"/>
  <c r="O245" i="2"/>
  <c r="O247" i="2"/>
  <c r="O265" i="2"/>
  <c r="O270" i="2"/>
  <c r="O271" i="2"/>
  <c r="O281" i="2"/>
  <c r="O282" i="2"/>
  <c r="O288" i="2"/>
  <c r="O296" i="2"/>
  <c r="O312" i="2"/>
  <c r="O328" i="2"/>
  <c r="O336" i="2"/>
  <c r="O338" i="2"/>
  <c r="O339" i="2"/>
  <c r="O349" i="2"/>
  <c r="O351" i="2"/>
  <c r="O352" i="2"/>
  <c r="O355" i="2"/>
  <c r="O357" i="2"/>
  <c r="O361" i="2"/>
  <c r="O362" i="2"/>
  <c r="O374" i="2"/>
  <c r="O380" i="2"/>
  <c r="O386" i="2"/>
  <c r="O389" i="2"/>
  <c r="O394" i="2"/>
  <c r="O405" i="2"/>
  <c r="O410" i="2"/>
  <c r="O412" i="2"/>
  <c r="O419" i="2"/>
  <c r="O427" i="2"/>
  <c r="O443" i="2"/>
  <c r="O447" i="2"/>
  <c r="O449" i="2"/>
  <c r="O450" i="2"/>
  <c r="O452" i="2"/>
  <c r="O454" i="2"/>
  <c r="O462" i="2"/>
  <c r="O463" i="2"/>
  <c r="O464" i="2"/>
  <c r="O468" i="2"/>
  <c r="O472" i="2"/>
  <c r="O477" i="2"/>
  <c r="O481" i="2"/>
  <c r="O483" i="2"/>
  <c r="O496" i="2"/>
  <c r="O507" i="2"/>
  <c r="O513" i="2"/>
  <c r="O514" i="2"/>
  <c r="O516" i="2"/>
  <c r="O525" i="2"/>
  <c r="O526" i="2"/>
  <c r="O527" i="2"/>
  <c r="O537" i="2"/>
  <c r="O538" i="2"/>
  <c r="O539" i="2"/>
  <c r="O545" i="2"/>
  <c r="O551" i="2"/>
  <c r="O553" i="2"/>
  <c r="O555" i="2"/>
  <c r="O559" i="2"/>
  <c r="O562" i="2"/>
  <c r="O567" i="2"/>
  <c r="O575" i="2"/>
  <c r="O577" i="2"/>
  <c r="O581" i="2"/>
  <c r="O583" i="2"/>
  <c r="O589" i="2"/>
  <c r="O591" i="2"/>
  <c r="O592" i="2"/>
  <c r="O594" i="2"/>
  <c r="O595" i="2"/>
  <c r="O600" i="2"/>
  <c r="O601" i="2"/>
  <c r="O616" i="2"/>
  <c r="O621" i="2"/>
  <c r="O626" i="2"/>
  <c r="O633" i="2"/>
  <c r="O637" i="2"/>
  <c r="O642" i="2"/>
  <c r="O648" i="2"/>
  <c r="O655" i="2"/>
  <c r="O668" i="2"/>
  <c r="O669" i="2"/>
  <c r="O671" i="2"/>
  <c r="O679" i="2"/>
  <c r="O685" i="2"/>
  <c r="O691" i="2"/>
  <c r="O696" i="2"/>
  <c r="O700" i="2"/>
  <c r="O3" i="2"/>
  <c r="O9" i="2"/>
  <c r="O13" i="2"/>
  <c r="O14" i="2"/>
  <c r="O18" i="2"/>
  <c r="O23" i="2"/>
  <c r="O26" i="2"/>
  <c r="O30" i="2"/>
  <c r="O40" i="2"/>
  <c r="O43" i="2"/>
  <c r="O48" i="2"/>
  <c r="O51" i="2"/>
  <c r="O58" i="2"/>
  <c r="O59" i="2"/>
  <c r="O82" i="2"/>
  <c r="O99" i="2"/>
  <c r="O101" i="2"/>
  <c r="O103" i="2"/>
  <c r="O111" i="2"/>
  <c r="O112" i="2"/>
  <c r="O123" i="2"/>
  <c r="O150" i="2"/>
  <c r="O155" i="2"/>
  <c r="O174" i="2"/>
  <c r="O182" i="2"/>
  <c r="O189" i="2"/>
  <c r="O198" i="2"/>
  <c r="O199" i="2"/>
  <c r="O200" i="2"/>
  <c r="O206" i="2"/>
  <c r="O210" i="2"/>
  <c r="O217" i="2"/>
  <c r="O219" i="2"/>
  <c r="O222" i="2"/>
  <c r="O223" i="2"/>
  <c r="O226" i="2"/>
  <c r="O235" i="2"/>
  <c r="O239" i="2"/>
  <c r="O240" i="2"/>
  <c r="O244" i="2"/>
  <c r="O246" i="2"/>
  <c r="O252" i="2"/>
  <c r="O253" i="2"/>
  <c r="O256" i="2"/>
  <c r="O257" i="2"/>
  <c r="O269" i="2"/>
  <c r="O273" i="2"/>
  <c r="O277" i="2"/>
  <c r="O287" i="2"/>
  <c r="O290" i="2"/>
  <c r="O292" i="2"/>
  <c r="O297" i="2"/>
  <c r="O298" i="2"/>
  <c r="O307" i="2"/>
  <c r="O308" i="2"/>
  <c r="O309" i="2"/>
  <c r="O311" i="2"/>
  <c r="O317" i="2"/>
  <c r="O318" i="2"/>
  <c r="O320" i="2"/>
  <c r="O327" i="2"/>
  <c r="O329" i="2"/>
  <c r="O330" i="2"/>
  <c r="O334" i="2"/>
  <c r="O337" i="2"/>
  <c r="O348" i="2"/>
  <c r="O356" i="2"/>
  <c r="O363" i="2"/>
  <c r="O367" i="2"/>
  <c r="O369" i="2"/>
  <c r="O370" i="2"/>
  <c r="O376" i="2"/>
  <c r="O377" i="2"/>
  <c r="O381" i="2"/>
  <c r="O384" i="2"/>
  <c r="O385" i="2"/>
  <c r="O388" i="2"/>
  <c r="O392" i="2"/>
  <c r="O393" i="2"/>
  <c r="O400" i="2"/>
  <c r="O401" i="2"/>
  <c r="O409" i="2"/>
  <c r="O414" i="2"/>
  <c r="O426" i="2"/>
  <c r="O428" i="2"/>
  <c r="O429" i="2"/>
  <c r="O435" i="2"/>
  <c r="O438" i="2"/>
  <c r="O440" i="2"/>
  <c r="O448" i="2"/>
  <c r="O453" i="2"/>
  <c r="O459" i="2"/>
  <c r="O461" i="2"/>
  <c r="O467" i="2"/>
  <c r="O480" i="2"/>
  <c r="O495" i="2"/>
  <c r="O515" i="2"/>
  <c r="O517" i="2"/>
  <c r="O520" i="2"/>
  <c r="O521" i="2"/>
  <c r="O522" i="2"/>
  <c r="O533" i="2"/>
  <c r="O536" i="2"/>
  <c r="O541" i="2"/>
  <c r="O547" i="2"/>
  <c r="O548" i="2"/>
  <c r="O561" i="2"/>
  <c r="O569" i="2"/>
  <c r="O572" i="2"/>
  <c r="O574" i="2"/>
  <c r="O580" i="2"/>
  <c r="O586" i="2"/>
  <c r="O587" i="2"/>
  <c r="O590" i="2"/>
  <c r="O597" i="2"/>
  <c r="O599" i="2"/>
  <c r="O603" i="2"/>
  <c r="O604" i="2"/>
  <c r="O605" i="2"/>
  <c r="O606" i="2"/>
  <c r="O607" i="2"/>
  <c r="O608" i="2"/>
  <c r="O618" i="2"/>
  <c r="O620" i="2"/>
  <c r="O625" i="2"/>
  <c r="O627" i="2"/>
  <c r="O635" i="2"/>
  <c r="O638" i="2"/>
  <c r="O643" i="2"/>
  <c r="O645" i="2"/>
  <c r="O678" i="2"/>
  <c r="O689" i="2"/>
  <c r="O701" i="2"/>
  <c r="O6" i="2"/>
  <c r="O11" i="2"/>
  <c r="O16" i="2"/>
  <c r="O19" i="2"/>
  <c r="O21" i="2"/>
  <c r="O28" i="2"/>
  <c r="O38" i="2"/>
  <c r="O57" i="2"/>
  <c r="O61" i="2"/>
  <c r="O67" i="2"/>
  <c r="O68" i="2"/>
  <c r="O70" i="2"/>
  <c r="O73" i="2"/>
  <c r="O76" i="2"/>
  <c r="O83" i="2"/>
  <c r="O94" i="2"/>
  <c r="O95" i="2"/>
  <c r="O98" i="2"/>
  <c r="O117" i="2"/>
  <c r="O118" i="2"/>
  <c r="O119" i="2"/>
  <c r="O128" i="2"/>
  <c r="O137" i="2"/>
  <c r="O144" i="2"/>
  <c r="O146" i="2"/>
  <c r="O147" i="2"/>
  <c r="O152" i="2"/>
  <c r="O165" i="2"/>
  <c r="O175" i="2"/>
  <c r="O181" i="2"/>
  <c r="O184" i="2"/>
  <c r="O185" i="2"/>
  <c r="O188" i="2"/>
  <c r="O190" i="2"/>
  <c r="O192" i="2"/>
  <c r="O194" i="2"/>
  <c r="O195" i="2"/>
  <c r="O203" i="2"/>
  <c r="O216" i="2"/>
  <c r="O218" i="2"/>
  <c r="O220" i="2"/>
  <c r="O229" i="2"/>
  <c r="O232" i="2"/>
  <c r="O233" i="2"/>
  <c r="O236" i="2"/>
  <c r="O241" i="2"/>
  <c r="O263" i="2"/>
  <c r="O264" i="2"/>
  <c r="O266" i="2"/>
  <c r="O268" i="2"/>
  <c r="O276" i="2"/>
  <c r="O284" i="2"/>
  <c r="O299" i="2"/>
  <c r="O300" i="2"/>
  <c r="O303" i="2"/>
  <c r="O304" i="2"/>
  <c r="O305" i="2"/>
  <c r="O306" i="2"/>
  <c r="O310" i="2"/>
  <c r="O313" i="2"/>
  <c r="O316" i="2"/>
  <c r="O322" i="2"/>
  <c r="O326" i="2"/>
  <c r="O331" i="2"/>
  <c r="O333" i="2"/>
  <c r="O340" i="2"/>
  <c r="O341" i="2"/>
  <c r="O342" i="2"/>
  <c r="O343" i="2"/>
  <c r="O344" i="2"/>
  <c r="O345" i="2"/>
  <c r="O346" i="2"/>
  <c r="O347" i="2"/>
  <c r="O358" i="2"/>
  <c r="O359" i="2"/>
  <c r="O365" i="2"/>
  <c r="O371" i="2"/>
  <c r="O372" i="2"/>
  <c r="O378" i="2"/>
  <c r="O382" i="2"/>
  <c r="O383" i="2"/>
  <c r="O387" i="2"/>
  <c r="O395" i="2"/>
  <c r="O399" i="2"/>
  <c r="O404" i="2"/>
  <c r="O406" i="2"/>
  <c r="O415" i="2"/>
  <c r="O417" i="2"/>
  <c r="O421" i="2"/>
  <c r="O422" i="2"/>
  <c r="O423" i="2"/>
  <c r="O424" i="2"/>
  <c r="O432" i="2"/>
  <c r="O433" i="2"/>
  <c r="O436" i="2"/>
  <c r="O439" i="2"/>
  <c r="O445" i="2"/>
  <c r="O446" i="2"/>
  <c r="O456" i="2"/>
  <c r="O457" i="2"/>
  <c r="O458" i="2"/>
  <c r="O460" i="2"/>
  <c r="O465" i="2"/>
  <c r="O475" i="2"/>
  <c r="O479" i="2"/>
  <c r="O482" i="2"/>
  <c r="O484" i="2"/>
  <c r="O486" i="2"/>
  <c r="O488" i="2"/>
  <c r="O489" i="2"/>
  <c r="O493" i="2"/>
  <c r="O498" i="2"/>
  <c r="O499" i="2"/>
  <c r="O501" i="2"/>
  <c r="O511" i="2"/>
  <c r="O519" i="2"/>
  <c r="O529" i="2"/>
  <c r="O534" i="2"/>
  <c r="O542" i="2"/>
  <c r="O543" i="2"/>
  <c r="O549" i="2"/>
  <c r="O554" i="2"/>
  <c r="O556" i="2"/>
  <c r="O558" i="2"/>
  <c r="O565" i="2"/>
  <c r="O579" i="2"/>
  <c r="O582" i="2"/>
  <c r="O584" i="2"/>
  <c r="O602" i="2"/>
  <c r="O611" i="2"/>
  <c r="O612" i="2"/>
  <c r="O622" i="2"/>
  <c r="O628" i="2"/>
  <c r="O629" i="2"/>
  <c r="O631" i="2"/>
  <c r="O634" i="2"/>
  <c r="O636" i="2"/>
  <c r="O649" i="2"/>
  <c r="O650" i="2"/>
  <c r="O653" i="2"/>
  <c r="O667" i="2"/>
  <c r="O670" i="2"/>
  <c r="O672" i="2"/>
  <c r="O681" i="2"/>
  <c r="O693" i="2"/>
  <c r="O69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B82CA-623B-463D-B023-404B7D3DAB2D}" keepAlive="1" name="ModelConnection_ExternalData_1" description="Data Model" type="5" refreshedVersion="8" minRefreshableVersion="5" saveData="1">
    <dbPr connection="Data Model Connection" command="user_behavior_dataset" commandType="3"/>
    <extLst>
      <ext xmlns:x15="http://schemas.microsoft.com/office/spreadsheetml/2010/11/main" uri="{DE250136-89BD-433C-8126-D09CA5730AF9}">
        <x15:connection id="" model="1"/>
      </ext>
    </extLst>
  </connection>
  <connection id="2" xr16:uid="{EF866985-DF33-40C5-9124-0F64A3D3D98A}" name="Query - user_behavior_dataset" description="Connection to the 'user_behavior_dataset' query in the workbook." type="100" refreshedVersion="8" minRefreshableVersion="5">
    <extLst>
      <ext xmlns:x15="http://schemas.microsoft.com/office/spreadsheetml/2010/11/main" uri="{DE250136-89BD-433C-8126-D09CA5730AF9}">
        <x15:connection id="484798bd-eb95-4430-bf38-3116aeb3e1e5"/>
      </ext>
    </extLst>
  </connection>
  <connection id="3" xr16:uid="{7360ADB4-8444-4AFB-B2AC-2013581432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26048E2-B739-41D9-A2CB-5C6B70562D59}" name="WorksheetConnection_Mobile user behaviour.xlsx!user_behavior_dataset" type="102" refreshedVersion="8" minRefreshableVersion="5">
    <extLst>
      <ext xmlns:x15="http://schemas.microsoft.com/office/spreadsheetml/2010/11/main" uri="{DE250136-89BD-433C-8126-D09CA5730AF9}">
        <x15:connection id="user_behavior_dataset 1">
          <x15:rangePr sourceName="_xlcn.WorksheetConnection_Mobileuserbehaviour.xlsxuser_behavior_dataset1"/>
        </x15:connection>
      </ext>
    </extLst>
  </connection>
</connections>
</file>

<file path=xl/sharedStrings.xml><?xml version="1.0" encoding="utf-8"?>
<sst xmlns="http://schemas.openxmlformats.org/spreadsheetml/2006/main" count="2914" uniqueCount="48">
  <si>
    <t>User ID</t>
  </si>
  <si>
    <t>Age</t>
  </si>
  <si>
    <t>Gender</t>
  </si>
  <si>
    <t>Device Model</t>
  </si>
  <si>
    <t>Operating System</t>
  </si>
  <si>
    <t>App Usage Time (min/day)</t>
  </si>
  <si>
    <t>Screen On Time (hours/day)</t>
  </si>
  <si>
    <t>Battery Drain (mAh/day)</t>
  </si>
  <si>
    <t>Number of Apps Installed</t>
  </si>
  <si>
    <t>Data Usage (MB/day)</t>
  </si>
  <si>
    <t>User Behavior Class</t>
  </si>
  <si>
    <t>Male</t>
  </si>
  <si>
    <t>Xiaomi Mi 11</t>
  </si>
  <si>
    <t>Android</t>
  </si>
  <si>
    <t>Female</t>
  </si>
  <si>
    <t>Google Pixel 5</t>
  </si>
  <si>
    <t>Samsung Galaxy S21</t>
  </si>
  <si>
    <t>OnePlus 9</t>
  </si>
  <si>
    <t>iPhone 12</t>
  </si>
  <si>
    <t>iOS</t>
  </si>
  <si>
    <t>Avg Usage per App</t>
  </si>
  <si>
    <t>Battery Drain per Hour</t>
  </si>
  <si>
    <t>Column1</t>
  </si>
  <si>
    <t>Row Labels</t>
  </si>
  <si>
    <t>Grand Total</t>
  </si>
  <si>
    <t>Column Labels</t>
  </si>
  <si>
    <t>Count of Device Model</t>
  </si>
  <si>
    <t>Sum of Screen On Time (hours/day)</t>
  </si>
  <si>
    <t>Count of User ID</t>
  </si>
  <si>
    <t>Average of Age</t>
  </si>
  <si>
    <t>Average of Screen On Time (hours/day)</t>
  </si>
  <si>
    <t>Average of Data Usage (MB/day)</t>
  </si>
  <si>
    <t>Sum of App Usage Time (min/day)</t>
  </si>
  <si>
    <t>Age Group</t>
  </si>
  <si>
    <t>40-45</t>
  </si>
  <si>
    <t>35-40</t>
  </si>
  <si>
    <t>25-30</t>
  </si>
  <si>
    <t>55-60</t>
  </si>
  <si>
    <t>50-55</t>
  </si>
  <si>
    <t>20-25</t>
  </si>
  <si>
    <t>30-35</t>
  </si>
  <si>
    <t>45-50</t>
  </si>
  <si>
    <t>18-20</t>
  </si>
  <si>
    <t>Sum of Data Usage (MB/day)</t>
  </si>
  <si>
    <t>Sum of User Behavior Class</t>
  </si>
  <si>
    <t>Count of Age Group</t>
  </si>
  <si>
    <t>Average of Battery Drain per Hour</t>
  </si>
  <si>
    <t>Average of Number of Apps Installed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</si>
</sst>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orbel"/>
      <family val="2"/>
      <scheme val="minor"/>
    </font>
    <font>
      <b/>
      <sz val="11"/>
      <color theme="1"/>
      <name val="Corbe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NumberFormat="1"/>
    <xf numFmtId="0" fontId="0" fillId="3" borderId="0" xfId="0" applyFill="1"/>
  </cellXfs>
  <cellStyles count="1">
    <cellStyle name="Normal" xfId="0" builtinId="0"/>
  </cellStyles>
  <dxfs count="5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9"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alcChain" Target="calcChain.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 Installed vs</a:t>
            </a:r>
            <a:r>
              <a:rPr lang="en-US" baseline="0"/>
              <a:t> </a:t>
            </a:r>
            <a:r>
              <a:rPr lang="en-US"/>
              <a:t>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Sheet2!$N$23</c:f>
              <c:strCache>
                <c:ptCount val="1"/>
                <c:pt idx="0">
                  <c:v>Sum of Screen On Time (hours/day)</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Sheet2!$M$24:$M$109</c:f>
              <c:numCache>
                <c:formatCode>General</c:formatCode>
                <c:ptCount val="86"/>
                <c:pt idx="0">
                  <c:v>10</c:v>
                </c:pt>
                <c:pt idx="1">
                  <c:v>11</c:v>
                </c:pt>
                <c:pt idx="2">
                  <c:v>12</c:v>
                </c:pt>
                <c:pt idx="3">
                  <c:v>13</c:v>
                </c:pt>
                <c:pt idx="4">
                  <c:v>14</c:v>
                </c:pt>
                <c:pt idx="5">
                  <c:v>15</c:v>
                </c:pt>
                <c:pt idx="6">
                  <c:v>16</c:v>
                </c:pt>
                <c:pt idx="7">
                  <c:v>17</c:v>
                </c:pt>
                <c:pt idx="8">
                  <c:v>18</c:v>
                </c:pt>
                <c:pt idx="9">
                  <c:v>19</c:v>
                </c:pt>
                <c:pt idx="10">
                  <c:v>21</c:v>
                </c:pt>
                <c:pt idx="11">
                  <c:v>22</c:v>
                </c:pt>
                <c:pt idx="12">
                  <c:v>23</c:v>
                </c:pt>
                <c:pt idx="13">
                  <c:v>24</c:v>
                </c:pt>
                <c:pt idx="14">
                  <c:v>25</c:v>
                </c:pt>
                <c:pt idx="15">
                  <c:v>26</c:v>
                </c:pt>
                <c:pt idx="16">
                  <c:v>27</c:v>
                </c:pt>
                <c:pt idx="17">
                  <c:v>28</c:v>
                </c:pt>
                <c:pt idx="18">
                  <c:v>29</c:v>
                </c:pt>
                <c:pt idx="19">
                  <c:v>30</c:v>
                </c:pt>
                <c:pt idx="20">
                  <c:v>31</c:v>
                </c:pt>
                <c:pt idx="21">
                  <c:v>32</c:v>
                </c:pt>
                <c:pt idx="22">
                  <c:v>33</c:v>
                </c:pt>
                <c:pt idx="23">
                  <c:v>34</c:v>
                </c:pt>
                <c:pt idx="24">
                  <c:v>35</c:v>
                </c:pt>
                <c:pt idx="25">
                  <c:v>36</c:v>
                </c:pt>
                <c:pt idx="26">
                  <c:v>37</c:v>
                </c:pt>
                <c:pt idx="27">
                  <c:v>38</c:v>
                </c:pt>
                <c:pt idx="28">
                  <c:v>39</c:v>
                </c:pt>
                <c:pt idx="29">
                  <c:v>41</c:v>
                </c:pt>
                <c:pt idx="30">
                  <c:v>42</c:v>
                </c:pt>
                <c:pt idx="31">
                  <c:v>43</c:v>
                </c:pt>
                <c:pt idx="32">
                  <c:v>44</c:v>
                </c:pt>
                <c:pt idx="33">
                  <c:v>45</c:v>
                </c:pt>
                <c:pt idx="34">
                  <c:v>46</c:v>
                </c:pt>
                <c:pt idx="35">
                  <c:v>47</c:v>
                </c:pt>
                <c:pt idx="36">
                  <c:v>48</c:v>
                </c:pt>
                <c:pt idx="37">
                  <c:v>49</c:v>
                </c:pt>
                <c:pt idx="38">
                  <c:v>50</c:v>
                </c:pt>
                <c:pt idx="39">
                  <c:v>51</c:v>
                </c:pt>
                <c:pt idx="40">
                  <c:v>52</c:v>
                </c:pt>
                <c:pt idx="41">
                  <c:v>53</c:v>
                </c:pt>
                <c:pt idx="42">
                  <c:v>54</c:v>
                </c:pt>
                <c:pt idx="43">
                  <c:v>55</c:v>
                </c:pt>
                <c:pt idx="44">
                  <c:v>56</c:v>
                </c:pt>
                <c:pt idx="45">
                  <c:v>57</c:v>
                </c:pt>
                <c:pt idx="46">
                  <c:v>58</c:v>
                </c:pt>
                <c:pt idx="47">
                  <c:v>59</c:v>
                </c:pt>
                <c:pt idx="48">
                  <c:v>61</c:v>
                </c:pt>
                <c:pt idx="49">
                  <c:v>62</c:v>
                </c:pt>
                <c:pt idx="50">
                  <c:v>63</c:v>
                </c:pt>
                <c:pt idx="51">
                  <c:v>64</c:v>
                </c:pt>
                <c:pt idx="52">
                  <c:v>65</c:v>
                </c:pt>
                <c:pt idx="53">
                  <c:v>66</c:v>
                </c:pt>
                <c:pt idx="54">
                  <c:v>67</c:v>
                </c:pt>
                <c:pt idx="55">
                  <c:v>68</c:v>
                </c:pt>
                <c:pt idx="56">
                  <c:v>69</c:v>
                </c:pt>
                <c:pt idx="57">
                  <c:v>70</c:v>
                </c:pt>
                <c:pt idx="58">
                  <c:v>71</c:v>
                </c:pt>
                <c:pt idx="59">
                  <c:v>72</c:v>
                </c:pt>
                <c:pt idx="60">
                  <c:v>73</c:v>
                </c:pt>
                <c:pt idx="61">
                  <c:v>74</c:v>
                </c:pt>
                <c:pt idx="62">
                  <c:v>75</c:v>
                </c:pt>
                <c:pt idx="63">
                  <c:v>76</c:v>
                </c:pt>
                <c:pt idx="64">
                  <c:v>77</c:v>
                </c:pt>
                <c:pt idx="65">
                  <c:v>78</c:v>
                </c:pt>
                <c:pt idx="66">
                  <c:v>79</c:v>
                </c:pt>
                <c:pt idx="67">
                  <c:v>81</c:v>
                </c:pt>
                <c:pt idx="68">
                  <c:v>82</c:v>
                </c:pt>
                <c:pt idx="69">
                  <c:v>83</c:v>
                </c:pt>
                <c:pt idx="70">
                  <c:v>84</c:v>
                </c:pt>
                <c:pt idx="71">
                  <c:v>85</c:v>
                </c:pt>
                <c:pt idx="72">
                  <c:v>86</c:v>
                </c:pt>
                <c:pt idx="73">
                  <c:v>87</c:v>
                </c:pt>
                <c:pt idx="74">
                  <c:v>88</c:v>
                </c:pt>
                <c:pt idx="75">
                  <c:v>89</c:v>
                </c:pt>
                <c:pt idx="76">
                  <c:v>90</c:v>
                </c:pt>
                <c:pt idx="77">
                  <c:v>91</c:v>
                </c:pt>
                <c:pt idx="78">
                  <c:v>92</c:v>
                </c:pt>
                <c:pt idx="79">
                  <c:v>93</c:v>
                </c:pt>
                <c:pt idx="80">
                  <c:v>94</c:v>
                </c:pt>
                <c:pt idx="81">
                  <c:v>95</c:v>
                </c:pt>
                <c:pt idx="82">
                  <c:v>96</c:v>
                </c:pt>
                <c:pt idx="83">
                  <c:v>97</c:v>
                </c:pt>
                <c:pt idx="84">
                  <c:v>98</c:v>
                </c:pt>
                <c:pt idx="85">
                  <c:v>99</c:v>
                </c:pt>
              </c:numCache>
            </c:numRef>
          </c:xVal>
          <c:yVal>
            <c:numRef>
              <c:f>Sheet2!$N$24:$N$109</c:f>
              <c:numCache>
                <c:formatCode>General</c:formatCode>
                <c:ptCount val="86"/>
                <c:pt idx="0">
                  <c:v>22.4</c:v>
                </c:pt>
                <c:pt idx="1">
                  <c:v>18.8</c:v>
                </c:pt>
                <c:pt idx="2">
                  <c:v>14.8</c:v>
                </c:pt>
                <c:pt idx="3">
                  <c:v>21.4</c:v>
                </c:pt>
                <c:pt idx="4">
                  <c:v>20.2</c:v>
                </c:pt>
                <c:pt idx="5">
                  <c:v>20.9</c:v>
                </c:pt>
                <c:pt idx="6">
                  <c:v>24.3</c:v>
                </c:pt>
                <c:pt idx="7">
                  <c:v>18.8</c:v>
                </c:pt>
                <c:pt idx="8">
                  <c:v>21.6</c:v>
                </c:pt>
                <c:pt idx="9">
                  <c:v>19.5</c:v>
                </c:pt>
                <c:pt idx="10">
                  <c:v>21.8</c:v>
                </c:pt>
                <c:pt idx="11">
                  <c:v>28.8</c:v>
                </c:pt>
                <c:pt idx="12">
                  <c:v>12.9</c:v>
                </c:pt>
                <c:pt idx="13">
                  <c:v>20.3</c:v>
                </c:pt>
                <c:pt idx="14">
                  <c:v>16.100000000000001</c:v>
                </c:pt>
                <c:pt idx="15">
                  <c:v>27.4</c:v>
                </c:pt>
                <c:pt idx="16">
                  <c:v>7.1</c:v>
                </c:pt>
                <c:pt idx="17">
                  <c:v>21.6</c:v>
                </c:pt>
                <c:pt idx="18">
                  <c:v>20.5</c:v>
                </c:pt>
                <c:pt idx="19">
                  <c:v>16.399999999999999</c:v>
                </c:pt>
                <c:pt idx="20">
                  <c:v>28.3</c:v>
                </c:pt>
                <c:pt idx="21">
                  <c:v>40.1</c:v>
                </c:pt>
                <c:pt idx="22">
                  <c:v>15</c:v>
                </c:pt>
                <c:pt idx="23">
                  <c:v>19.7</c:v>
                </c:pt>
                <c:pt idx="24">
                  <c:v>24.9</c:v>
                </c:pt>
                <c:pt idx="25">
                  <c:v>40.4</c:v>
                </c:pt>
                <c:pt idx="26">
                  <c:v>28.1</c:v>
                </c:pt>
                <c:pt idx="27">
                  <c:v>34.9</c:v>
                </c:pt>
                <c:pt idx="28">
                  <c:v>19.2</c:v>
                </c:pt>
                <c:pt idx="29">
                  <c:v>21.1</c:v>
                </c:pt>
                <c:pt idx="30">
                  <c:v>45.4</c:v>
                </c:pt>
                <c:pt idx="31">
                  <c:v>33.4</c:v>
                </c:pt>
                <c:pt idx="32">
                  <c:v>36.4</c:v>
                </c:pt>
                <c:pt idx="33">
                  <c:v>69.7</c:v>
                </c:pt>
                <c:pt idx="34">
                  <c:v>33.799999999999997</c:v>
                </c:pt>
                <c:pt idx="35">
                  <c:v>42.9</c:v>
                </c:pt>
                <c:pt idx="36">
                  <c:v>35.299999999999997</c:v>
                </c:pt>
                <c:pt idx="37">
                  <c:v>42</c:v>
                </c:pt>
                <c:pt idx="38">
                  <c:v>14.4</c:v>
                </c:pt>
                <c:pt idx="39">
                  <c:v>28.6</c:v>
                </c:pt>
                <c:pt idx="40">
                  <c:v>54.8</c:v>
                </c:pt>
                <c:pt idx="41">
                  <c:v>26.3</c:v>
                </c:pt>
                <c:pt idx="42">
                  <c:v>34</c:v>
                </c:pt>
                <c:pt idx="43">
                  <c:v>34.4</c:v>
                </c:pt>
                <c:pt idx="44">
                  <c:v>48.7</c:v>
                </c:pt>
                <c:pt idx="45">
                  <c:v>29.9</c:v>
                </c:pt>
                <c:pt idx="46">
                  <c:v>29.9</c:v>
                </c:pt>
                <c:pt idx="47">
                  <c:v>47.7</c:v>
                </c:pt>
                <c:pt idx="48">
                  <c:v>68.3</c:v>
                </c:pt>
                <c:pt idx="49">
                  <c:v>21.5</c:v>
                </c:pt>
                <c:pt idx="50">
                  <c:v>45.9</c:v>
                </c:pt>
                <c:pt idx="51">
                  <c:v>51.1</c:v>
                </c:pt>
                <c:pt idx="52">
                  <c:v>41.9</c:v>
                </c:pt>
                <c:pt idx="53">
                  <c:v>78.099999999999994</c:v>
                </c:pt>
                <c:pt idx="54">
                  <c:v>52.5</c:v>
                </c:pt>
                <c:pt idx="55">
                  <c:v>70.099999999999994</c:v>
                </c:pt>
                <c:pt idx="56">
                  <c:v>63.7</c:v>
                </c:pt>
                <c:pt idx="57">
                  <c:v>19</c:v>
                </c:pt>
                <c:pt idx="58">
                  <c:v>53.8</c:v>
                </c:pt>
                <c:pt idx="59">
                  <c:v>54.6</c:v>
                </c:pt>
                <c:pt idx="60">
                  <c:v>42.4</c:v>
                </c:pt>
                <c:pt idx="61">
                  <c:v>35.6</c:v>
                </c:pt>
                <c:pt idx="62">
                  <c:v>70.7</c:v>
                </c:pt>
                <c:pt idx="63">
                  <c:v>32.5</c:v>
                </c:pt>
                <c:pt idx="64">
                  <c:v>69.900000000000006</c:v>
                </c:pt>
                <c:pt idx="65">
                  <c:v>54.7</c:v>
                </c:pt>
                <c:pt idx="66">
                  <c:v>34.1</c:v>
                </c:pt>
                <c:pt idx="67">
                  <c:v>73.599999999999994</c:v>
                </c:pt>
                <c:pt idx="68">
                  <c:v>117.1</c:v>
                </c:pt>
                <c:pt idx="69">
                  <c:v>100.7</c:v>
                </c:pt>
                <c:pt idx="70">
                  <c:v>96.2</c:v>
                </c:pt>
                <c:pt idx="71">
                  <c:v>31.5</c:v>
                </c:pt>
                <c:pt idx="72">
                  <c:v>77.099999999999994</c:v>
                </c:pt>
                <c:pt idx="73">
                  <c:v>60.5</c:v>
                </c:pt>
                <c:pt idx="74">
                  <c:v>51.2</c:v>
                </c:pt>
                <c:pt idx="75">
                  <c:v>94.1</c:v>
                </c:pt>
                <c:pt idx="76">
                  <c:v>135.4</c:v>
                </c:pt>
                <c:pt idx="77">
                  <c:v>120.6</c:v>
                </c:pt>
                <c:pt idx="78">
                  <c:v>60.1</c:v>
                </c:pt>
                <c:pt idx="79">
                  <c:v>52.5</c:v>
                </c:pt>
                <c:pt idx="80">
                  <c:v>29.7</c:v>
                </c:pt>
                <c:pt idx="81">
                  <c:v>39.799999999999997</c:v>
                </c:pt>
                <c:pt idx="82">
                  <c:v>29.8</c:v>
                </c:pt>
                <c:pt idx="83">
                  <c:v>57.1</c:v>
                </c:pt>
                <c:pt idx="84">
                  <c:v>57.8</c:v>
                </c:pt>
                <c:pt idx="85">
                  <c:v>90.8</c:v>
                </c:pt>
              </c:numCache>
            </c:numRef>
          </c:yVal>
          <c:smooth val="0"/>
          <c:extLst>
            <c:ext xmlns:c16="http://schemas.microsoft.com/office/drawing/2014/chart" uri="{C3380CC4-5D6E-409C-BE32-E72D297353CC}">
              <c16:uniqueId val="{00000000-D326-460B-9E77-21421BF96EE9}"/>
            </c:ext>
          </c:extLst>
        </c:ser>
        <c:dLbls>
          <c:showLegendKey val="0"/>
          <c:showVal val="0"/>
          <c:showCatName val="0"/>
          <c:showSerName val="0"/>
          <c:showPercent val="0"/>
          <c:showBubbleSize val="0"/>
        </c:dLbls>
        <c:axId val="1120529312"/>
        <c:axId val="1120526432"/>
      </c:scatterChart>
      <c:valAx>
        <c:axId val="112052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26432"/>
        <c:crosses val="autoZero"/>
        <c:crossBetween val="midCat"/>
      </c:valAx>
      <c:valAx>
        <c:axId val="112052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29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Device Model vs User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Sheet2!$B$6:$B$11</c:f>
              <c:strCache>
                <c:ptCount val="5"/>
                <c:pt idx="0">
                  <c:v>Google Pixel 5</c:v>
                </c:pt>
                <c:pt idx="1">
                  <c:v>iPhone 12</c:v>
                </c:pt>
                <c:pt idx="2">
                  <c:v>OnePlus 9</c:v>
                </c:pt>
                <c:pt idx="3">
                  <c:v>Samsung Galaxy S21</c:v>
                </c:pt>
                <c:pt idx="4">
                  <c:v>Xiaomi Mi 11</c:v>
                </c:pt>
              </c:strCache>
            </c:strRef>
          </c:cat>
          <c:val>
            <c:numRef>
              <c:f>Sheet2!$C$6:$C$11</c:f>
              <c:numCache>
                <c:formatCode>General</c:formatCode>
                <c:ptCount val="5"/>
                <c:pt idx="0">
                  <c:v>142</c:v>
                </c:pt>
                <c:pt idx="1">
                  <c:v>146</c:v>
                </c:pt>
                <c:pt idx="2">
                  <c:v>133</c:v>
                </c:pt>
                <c:pt idx="3">
                  <c:v>133</c:v>
                </c:pt>
                <c:pt idx="4">
                  <c:v>146</c:v>
                </c:pt>
              </c:numCache>
            </c:numRef>
          </c:val>
          <c:extLst>
            <c:ext xmlns:c16="http://schemas.microsoft.com/office/drawing/2014/chart" uri="{C3380CC4-5D6E-409C-BE32-E72D297353CC}">
              <c16:uniqueId val="{00000003-E975-440C-9B3F-CF0F644FA985}"/>
            </c:ext>
          </c:extLst>
        </c:ser>
        <c:dLbls>
          <c:showLegendKey val="0"/>
          <c:showVal val="0"/>
          <c:showCatName val="0"/>
          <c:showSerName val="0"/>
          <c:showPercent val="0"/>
          <c:showBubbleSize val="0"/>
        </c:dLbls>
        <c:gapWidth val="219"/>
        <c:overlap val="-27"/>
        <c:axId val="397289552"/>
        <c:axId val="327078072"/>
      </c:barChart>
      <c:catAx>
        <c:axId val="39728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78072"/>
        <c:crosses val="autoZero"/>
        <c:auto val="1"/>
        <c:lblAlgn val="ctr"/>
        <c:lblOffset val="100"/>
        <c:noMultiLvlLbl val="0"/>
      </c:catAx>
      <c:valAx>
        <c:axId val="327078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28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Male vs Female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Sheet2!$C$14</c:f>
              <c:strCache>
                <c:ptCount val="1"/>
                <c:pt idx="0">
                  <c:v>Total</c:v>
                </c:pt>
              </c:strCache>
            </c:strRef>
          </c:tx>
          <c:spPr>
            <a:solidFill>
              <a:schemeClr val="accent1"/>
            </a:solidFill>
            <a:ln>
              <a:noFill/>
            </a:ln>
            <a:effectLst/>
          </c:spPr>
          <c:invertIfNegative val="0"/>
          <c:cat>
            <c:strRef>
              <c:f>Sheet2!$B$15:$B$17</c:f>
              <c:strCache>
                <c:ptCount val="2"/>
                <c:pt idx="0">
                  <c:v>Female</c:v>
                </c:pt>
                <c:pt idx="1">
                  <c:v>Male</c:v>
                </c:pt>
              </c:strCache>
            </c:strRef>
          </c:cat>
          <c:val>
            <c:numRef>
              <c:f>Sheet2!$C$15:$C$17</c:f>
              <c:numCache>
                <c:formatCode>General</c:formatCode>
                <c:ptCount val="2"/>
                <c:pt idx="0">
                  <c:v>1767.8</c:v>
                </c:pt>
                <c:pt idx="1">
                  <c:v>1923.1</c:v>
                </c:pt>
              </c:numCache>
            </c:numRef>
          </c:val>
          <c:extLst>
            <c:ext xmlns:c16="http://schemas.microsoft.com/office/drawing/2014/chart" uri="{C3380CC4-5D6E-409C-BE32-E72D297353CC}">
              <c16:uniqueId val="{00000000-C601-4669-9EA4-DA26C10A8B68}"/>
            </c:ext>
          </c:extLst>
        </c:ser>
        <c:dLbls>
          <c:showLegendKey val="0"/>
          <c:showVal val="0"/>
          <c:showCatName val="0"/>
          <c:showSerName val="0"/>
          <c:showPercent val="0"/>
          <c:showBubbleSize val="0"/>
        </c:dLbls>
        <c:gapWidth val="219"/>
        <c:overlap val="-27"/>
        <c:axId val="402803208"/>
        <c:axId val="402803568"/>
      </c:barChart>
      <c:catAx>
        <c:axId val="402803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03568"/>
        <c:crosses val="autoZero"/>
        <c:auto val="1"/>
        <c:lblAlgn val="ctr"/>
        <c:lblOffset val="100"/>
        <c:noMultiLvlLbl val="0"/>
      </c:catAx>
      <c:valAx>
        <c:axId val="4028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03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OS</a:t>
            </a:r>
            <a:r>
              <a:rPr lang="en-IN" baseline="0"/>
              <a:t>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olidFill>
            <a:ln>
              <a:noFill/>
            </a:ln>
            <a:effectLst/>
          </c:spPr>
          <c:invertIfNegative val="0"/>
          <c:cat>
            <c:strLit>
              <c:ptCount val="2"/>
              <c:pt idx="0">
                <c:v>Android</c:v>
              </c:pt>
              <c:pt idx="1">
                <c:v>iOS</c:v>
              </c:pt>
            </c:strLit>
          </c:cat>
          <c:val>
            <c:numLit>
              <c:formatCode>General</c:formatCode>
              <c:ptCount val="2"/>
              <c:pt idx="0">
                <c:v>262</c:v>
              </c:pt>
              <c:pt idx="1">
                <c:v>74</c:v>
              </c:pt>
            </c:numLit>
          </c:val>
          <c:extLst>
            <c:ext xmlns:c16="http://schemas.microsoft.com/office/drawing/2014/chart" uri="{C3380CC4-5D6E-409C-BE32-E72D297353CC}">
              <c16:uniqueId val="{00000000-40BD-4E82-BCC1-A82885FB7910}"/>
            </c:ext>
          </c:extLst>
        </c:ser>
        <c:ser>
          <c:idx val="1"/>
          <c:order val="1"/>
          <c:tx>
            <c:v>Male</c:v>
          </c:tx>
          <c:spPr>
            <a:solidFill>
              <a:schemeClr val="accent2"/>
            </a:solidFill>
            <a:ln>
              <a:noFill/>
            </a:ln>
            <a:effectLst/>
          </c:spPr>
          <c:invertIfNegative val="0"/>
          <c:cat>
            <c:strLit>
              <c:ptCount val="2"/>
              <c:pt idx="0">
                <c:v>Android</c:v>
              </c:pt>
              <c:pt idx="1">
                <c:v>iOS</c:v>
              </c:pt>
            </c:strLit>
          </c:cat>
          <c:val>
            <c:numLit>
              <c:formatCode>General</c:formatCode>
              <c:ptCount val="2"/>
              <c:pt idx="0">
                <c:v>292</c:v>
              </c:pt>
              <c:pt idx="1">
                <c:v>72</c:v>
              </c:pt>
            </c:numLit>
          </c:val>
          <c:extLst>
            <c:ext xmlns:c16="http://schemas.microsoft.com/office/drawing/2014/chart" uri="{C3380CC4-5D6E-409C-BE32-E72D297353CC}">
              <c16:uniqueId val="{00000001-40BD-4E82-BCC1-A82885FB7910}"/>
            </c:ext>
          </c:extLst>
        </c:ser>
        <c:dLbls>
          <c:showLegendKey val="0"/>
          <c:showVal val="0"/>
          <c:showCatName val="0"/>
          <c:showSerName val="0"/>
          <c:showPercent val="0"/>
          <c:showBubbleSize val="0"/>
        </c:dLbls>
        <c:gapWidth val="219"/>
        <c:overlap val="-27"/>
        <c:axId val="1894455392"/>
        <c:axId val="1894462592"/>
      </c:barChart>
      <c:catAx>
        <c:axId val="189445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62592"/>
        <c:crosses val="autoZero"/>
        <c:auto val="1"/>
        <c:lblAlgn val="ctr"/>
        <c:lblOffset val="100"/>
        <c:noMultiLvlLbl val="0"/>
      </c:catAx>
      <c:valAx>
        <c:axId val="189446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5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vs Screen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Sheet2!$H$31</c:f>
              <c:strCache>
                <c:ptCount val="1"/>
                <c:pt idx="0">
                  <c:v>Total</c:v>
                </c:pt>
              </c:strCache>
            </c:strRef>
          </c:tx>
          <c:spPr>
            <a:solidFill>
              <a:schemeClr val="accent1"/>
            </a:solidFill>
            <a:ln>
              <a:noFill/>
            </a:ln>
            <a:effectLst/>
          </c:spPr>
          <c:invertIfNegative val="0"/>
          <c:cat>
            <c:strRef>
              <c:f>Sheet2!$G$32:$G$41</c:f>
              <c:strCache>
                <c:ptCount val="9"/>
                <c:pt idx="0">
                  <c:v>18-20</c:v>
                </c:pt>
                <c:pt idx="1">
                  <c:v>20-25</c:v>
                </c:pt>
                <c:pt idx="2">
                  <c:v>25-30</c:v>
                </c:pt>
                <c:pt idx="3">
                  <c:v>30-35</c:v>
                </c:pt>
                <c:pt idx="4">
                  <c:v>35-40</c:v>
                </c:pt>
                <c:pt idx="5">
                  <c:v>40-45</c:v>
                </c:pt>
                <c:pt idx="6">
                  <c:v>45-50</c:v>
                </c:pt>
                <c:pt idx="7">
                  <c:v>50-55</c:v>
                </c:pt>
                <c:pt idx="8">
                  <c:v>55-60</c:v>
                </c:pt>
              </c:strCache>
            </c:strRef>
          </c:cat>
          <c:val>
            <c:numRef>
              <c:f>Sheet2!$H$32:$H$41</c:f>
              <c:numCache>
                <c:formatCode>General</c:formatCode>
                <c:ptCount val="9"/>
                <c:pt idx="0">
                  <c:v>117.4</c:v>
                </c:pt>
                <c:pt idx="1">
                  <c:v>502</c:v>
                </c:pt>
                <c:pt idx="2">
                  <c:v>437.6</c:v>
                </c:pt>
                <c:pt idx="3">
                  <c:v>476.4</c:v>
                </c:pt>
                <c:pt idx="4">
                  <c:v>389.2</c:v>
                </c:pt>
                <c:pt idx="5">
                  <c:v>412.4</c:v>
                </c:pt>
                <c:pt idx="6">
                  <c:v>424.9</c:v>
                </c:pt>
                <c:pt idx="7">
                  <c:v>498.1</c:v>
                </c:pt>
                <c:pt idx="8">
                  <c:v>432.9</c:v>
                </c:pt>
              </c:numCache>
            </c:numRef>
          </c:val>
          <c:extLst>
            <c:ext xmlns:c16="http://schemas.microsoft.com/office/drawing/2014/chart" uri="{C3380CC4-5D6E-409C-BE32-E72D297353CC}">
              <c16:uniqueId val="{00000000-CC2F-4E03-BB0C-7D9FDEA33F22}"/>
            </c:ext>
          </c:extLst>
        </c:ser>
        <c:dLbls>
          <c:showLegendKey val="0"/>
          <c:showVal val="0"/>
          <c:showCatName val="0"/>
          <c:showSerName val="0"/>
          <c:showPercent val="0"/>
          <c:showBubbleSize val="0"/>
        </c:dLbls>
        <c:gapWidth val="219"/>
        <c:overlap val="-27"/>
        <c:axId val="1124373032"/>
        <c:axId val="1124370512"/>
      </c:barChart>
      <c:catAx>
        <c:axId val="1124373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70512"/>
        <c:crosses val="autoZero"/>
        <c:auto val="1"/>
        <c:lblAlgn val="ctr"/>
        <c:lblOffset val="100"/>
        <c:noMultiLvlLbl val="0"/>
      </c:catAx>
      <c:valAx>
        <c:axId val="112437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373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a:t>
            </a:r>
            <a:r>
              <a:rPr lang="en-IN" baseline="0"/>
              <a: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Sheet2!$J$4</c:f>
              <c:strCache>
                <c:ptCount val="1"/>
                <c:pt idx="0">
                  <c:v>Total</c:v>
                </c:pt>
              </c:strCache>
            </c:strRef>
          </c:tx>
          <c:spPr>
            <a:solidFill>
              <a:schemeClr val="accent1"/>
            </a:solidFill>
            <a:ln>
              <a:noFill/>
            </a:ln>
            <a:effectLst/>
          </c:spPr>
          <c:invertIfNegative val="0"/>
          <c:cat>
            <c:strRef>
              <c:f>Sheet2!$I$5:$I$14</c:f>
              <c:strCache>
                <c:ptCount val="9"/>
                <c:pt idx="0">
                  <c:v>18-20</c:v>
                </c:pt>
                <c:pt idx="1">
                  <c:v>20-25</c:v>
                </c:pt>
                <c:pt idx="2">
                  <c:v>25-30</c:v>
                </c:pt>
                <c:pt idx="3">
                  <c:v>30-35</c:v>
                </c:pt>
                <c:pt idx="4">
                  <c:v>35-40</c:v>
                </c:pt>
                <c:pt idx="5">
                  <c:v>40-45</c:v>
                </c:pt>
                <c:pt idx="6">
                  <c:v>45-50</c:v>
                </c:pt>
                <c:pt idx="7">
                  <c:v>50-55</c:v>
                </c:pt>
                <c:pt idx="8">
                  <c:v>55-60</c:v>
                </c:pt>
              </c:strCache>
            </c:strRef>
          </c:cat>
          <c:val>
            <c:numRef>
              <c:f>Sheet2!$J$5:$J$14</c:f>
              <c:numCache>
                <c:formatCode>General</c:formatCode>
                <c:ptCount val="9"/>
                <c:pt idx="0">
                  <c:v>23</c:v>
                </c:pt>
                <c:pt idx="1">
                  <c:v>87</c:v>
                </c:pt>
                <c:pt idx="2">
                  <c:v>93</c:v>
                </c:pt>
                <c:pt idx="3">
                  <c:v>89</c:v>
                </c:pt>
                <c:pt idx="4">
                  <c:v>75</c:v>
                </c:pt>
                <c:pt idx="5">
                  <c:v>87</c:v>
                </c:pt>
                <c:pt idx="6">
                  <c:v>72</c:v>
                </c:pt>
                <c:pt idx="7">
                  <c:v>92</c:v>
                </c:pt>
                <c:pt idx="8">
                  <c:v>82</c:v>
                </c:pt>
              </c:numCache>
            </c:numRef>
          </c:val>
          <c:extLst>
            <c:ext xmlns:c16="http://schemas.microsoft.com/office/drawing/2014/chart" uri="{C3380CC4-5D6E-409C-BE32-E72D297353CC}">
              <c16:uniqueId val="{00000000-ECE8-458F-A689-DB6551D774A3}"/>
            </c:ext>
          </c:extLst>
        </c:ser>
        <c:dLbls>
          <c:showLegendKey val="0"/>
          <c:showVal val="0"/>
          <c:showCatName val="0"/>
          <c:showSerName val="0"/>
          <c:showPercent val="0"/>
          <c:showBubbleSize val="0"/>
        </c:dLbls>
        <c:gapWidth val="219"/>
        <c:overlap val="-27"/>
        <c:axId val="1899192936"/>
        <c:axId val="1899184656"/>
      </c:barChart>
      <c:catAx>
        <c:axId val="1899192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184656"/>
        <c:crosses val="autoZero"/>
        <c:auto val="1"/>
        <c:lblAlgn val="ctr"/>
        <c:lblOffset val="100"/>
        <c:noMultiLvlLbl val="0"/>
      </c:catAx>
      <c:valAx>
        <c:axId val="189918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192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vs User Behaviour Class vs Screen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Sheet2!$P$4:$P$5</c:f>
              <c:strCache>
                <c:ptCount val="1"/>
                <c:pt idx="0">
                  <c:v>1</c:v>
                </c:pt>
              </c:strCache>
            </c:strRef>
          </c:tx>
          <c:spPr>
            <a:solidFill>
              <a:schemeClr val="accent1"/>
            </a:solidFill>
            <a:ln>
              <a:noFill/>
            </a:ln>
            <a:effectLst/>
          </c:spPr>
          <c:invertIfNegative val="0"/>
          <c:cat>
            <c:strRef>
              <c:f>Sheet2!$O$6:$O$8</c:f>
              <c:strCache>
                <c:ptCount val="2"/>
                <c:pt idx="0">
                  <c:v>Female</c:v>
                </c:pt>
                <c:pt idx="1">
                  <c:v>Male</c:v>
                </c:pt>
              </c:strCache>
            </c:strRef>
          </c:cat>
          <c:val>
            <c:numRef>
              <c:f>Sheet2!$P$6:$P$8</c:f>
              <c:numCache>
                <c:formatCode>General</c:formatCode>
                <c:ptCount val="2"/>
                <c:pt idx="0">
                  <c:v>94.4</c:v>
                </c:pt>
                <c:pt idx="1">
                  <c:v>108.3</c:v>
                </c:pt>
              </c:numCache>
            </c:numRef>
          </c:val>
          <c:extLst>
            <c:ext xmlns:c16="http://schemas.microsoft.com/office/drawing/2014/chart" uri="{C3380CC4-5D6E-409C-BE32-E72D297353CC}">
              <c16:uniqueId val="{00000000-A3D8-4679-8335-2A8A2961A9EB}"/>
            </c:ext>
          </c:extLst>
        </c:ser>
        <c:ser>
          <c:idx val="1"/>
          <c:order val="1"/>
          <c:tx>
            <c:strRef>
              <c:f>Sheet2!$Q$4:$Q$5</c:f>
              <c:strCache>
                <c:ptCount val="1"/>
                <c:pt idx="0">
                  <c:v>2</c:v>
                </c:pt>
              </c:strCache>
            </c:strRef>
          </c:tx>
          <c:spPr>
            <a:solidFill>
              <a:schemeClr val="accent2"/>
            </a:solidFill>
            <a:ln>
              <a:noFill/>
            </a:ln>
            <a:effectLst/>
          </c:spPr>
          <c:invertIfNegative val="0"/>
          <c:cat>
            <c:strRef>
              <c:f>Sheet2!$O$6:$O$8</c:f>
              <c:strCache>
                <c:ptCount val="2"/>
                <c:pt idx="0">
                  <c:v>Female</c:v>
                </c:pt>
                <c:pt idx="1">
                  <c:v>Male</c:v>
                </c:pt>
              </c:strCache>
            </c:strRef>
          </c:cat>
          <c:val>
            <c:numRef>
              <c:f>Sheet2!$Q$6:$Q$8</c:f>
              <c:numCache>
                <c:formatCode>General</c:formatCode>
                <c:ptCount val="2"/>
                <c:pt idx="0">
                  <c:v>196</c:v>
                </c:pt>
                <c:pt idx="1">
                  <c:v>247.5</c:v>
                </c:pt>
              </c:numCache>
            </c:numRef>
          </c:val>
          <c:extLst>
            <c:ext xmlns:c16="http://schemas.microsoft.com/office/drawing/2014/chart" uri="{C3380CC4-5D6E-409C-BE32-E72D297353CC}">
              <c16:uniqueId val="{00000056-8184-4739-B139-DDC3F51CD991}"/>
            </c:ext>
          </c:extLst>
        </c:ser>
        <c:ser>
          <c:idx val="2"/>
          <c:order val="2"/>
          <c:tx>
            <c:strRef>
              <c:f>Sheet2!$R$4:$R$5</c:f>
              <c:strCache>
                <c:ptCount val="1"/>
                <c:pt idx="0">
                  <c:v>3</c:v>
                </c:pt>
              </c:strCache>
            </c:strRef>
          </c:tx>
          <c:spPr>
            <a:solidFill>
              <a:schemeClr val="accent3"/>
            </a:solidFill>
            <a:ln>
              <a:noFill/>
            </a:ln>
            <a:effectLst/>
          </c:spPr>
          <c:invertIfNegative val="0"/>
          <c:cat>
            <c:strRef>
              <c:f>Sheet2!$O$6:$O$8</c:f>
              <c:strCache>
                <c:ptCount val="2"/>
                <c:pt idx="0">
                  <c:v>Female</c:v>
                </c:pt>
                <c:pt idx="1">
                  <c:v>Male</c:v>
                </c:pt>
              </c:strCache>
            </c:strRef>
          </c:cat>
          <c:val>
            <c:numRef>
              <c:f>Sheet2!$R$6:$R$8</c:f>
              <c:numCache>
                <c:formatCode>General</c:formatCode>
                <c:ptCount val="2"/>
                <c:pt idx="0">
                  <c:v>407.2</c:v>
                </c:pt>
                <c:pt idx="1">
                  <c:v>301.5</c:v>
                </c:pt>
              </c:numCache>
            </c:numRef>
          </c:val>
          <c:extLst>
            <c:ext xmlns:c16="http://schemas.microsoft.com/office/drawing/2014/chart" uri="{C3380CC4-5D6E-409C-BE32-E72D297353CC}">
              <c16:uniqueId val="{00000057-8184-4739-B139-DDC3F51CD991}"/>
            </c:ext>
          </c:extLst>
        </c:ser>
        <c:ser>
          <c:idx val="3"/>
          <c:order val="3"/>
          <c:tx>
            <c:strRef>
              <c:f>Sheet2!$S$4:$S$5</c:f>
              <c:strCache>
                <c:ptCount val="1"/>
                <c:pt idx="0">
                  <c:v>4</c:v>
                </c:pt>
              </c:strCache>
            </c:strRef>
          </c:tx>
          <c:spPr>
            <a:solidFill>
              <a:schemeClr val="accent4"/>
            </a:solidFill>
            <a:ln>
              <a:noFill/>
            </a:ln>
            <a:effectLst/>
          </c:spPr>
          <c:invertIfNegative val="0"/>
          <c:cat>
            <c:strRef>
              <c:f>Sheet2!$O$6:$O$8</c:f>
              <c:strCache>
                <c:ptCount val="2"/>
                <c:pt idx="0">
                  <c:v>Female</c:v>
                </c:pt>
                <c:pt idx="1">
                  <c:v>Male</c:v>
                </c:pt>
              </c:strCache>
            </c:strRef>
          </c:cat>
          <c:val>
            <c:numRef>
              <c:f>Sheet2!$S$6:$S$8</c:f>
              <c:numCache>
                <c:formatCode>General</c:formatCode>
                <c:ptCount val="2"/>
                <c:pt idx="0">
                  <c:v>461</c:v>
                </c:pt>
                <c:pt idx="1">
                  <c:v>499.4</c:v>
                </c:pt>
              </c:numCache>
            </c:numRef>
          </c:val>
          <c:extLst>
            <c:ext xmlns:c16="http://schemas.microsoft.com/office/drawing/2014/chart" uri="{C3380CC4-5D6E-409C-BE32-E72D297353CC}">
              <c16:uniqueId val="{00000058-8184-4739-B139-DDC3F51CD991}"/>
            </c:ext>
          </c:extLst>
        </c:ser>
        <c:ser>
          <c:idx val="4"/>
          <c:order val="4"/>
          <c:tx>
            <c:strRef>
              <c:f>Sheet2!$T$4:$T$5</c:f>
              <c:strCache>
                <c:ptCount val="1"/>
                <c:pt idx="0">
                  <c:v>5</c:v>
                </c:pt>
              </c:strCache>
            </c:strRef>
          </c:tx>
          <c:spPr>
            <a:solidFill>
              <a:schemeClr val="accent5"/>
            </a:solidFill>
            <a:ln>
              <a:noFill/>
            </a:ln>
            <a:effectLst/>
          </c:spPr>
          <c:invertIfNegative val="0"/>
          <c:cat>
            <c:strRef>
              <c:f>Sheet2!$O$6:$O$8</c:f>
              <c:strCache>
                <c:ptCount val="2"/>
                <c:pt idx="0">
                  <c:v>Female</c:v>
                </c:pt>
                <c:pt idx="1">
                  <c:v>Male</c:v>
                </c:pt>
              </c:strCache>
            </c:strRef>
          </c:cat>
          <c:val>
            <c:numRef>
              <c:f>Sheet2!$T$6:$T$8</c:f>
              <c:numCache>
                <c:formatCode>General</c:formatCode>
                <c:ptCount val="2"/>
                <c:pt idx="0">
                  <c:v>609.20000000000005</c:v>
                </c:pt>
                <c:pt idx="1">
                  <c:v>766.4</c:v>
                </c:pt>
              </c:numCache>
            </c:numRef>
          </c:val>
          <c:extLst>
            <c:ext xmlns:c16="http://schemas.microsoft.com/office/drawing/2014/chart" uri="{C3380CC4-5D6E-409C-BE32-E72D297353CC}">
              <c16:uniqueId val="{00000059-8184-4739-B139-DDC3F51CD991}"/>
            </c:ext>
          </c:extLst>
        </c:ser>
        <c:dLbls>
          <c:showLegendKey val="0"/>
          <c:showVal val="0"/>
          <c:showCatName val="0"/>
          <c:showSerName val="0"/>
          <c:showPercent val="0"/>
          <c:showBubbleSize val="0"/>
        </c:dLbls>
        <c:gapWidth val="150"/>
        <c:overlap val="100"/>
        <c:axId val="1900390656"/>
        <c:axId val="1900384536"/>
      </c:barChart>
      <c:catAx>
        <c:axId val="190039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84536"/>
        <c:crosses val="autoZero"/>
        <c:auto val="1"/>
        <c:lblAlgn val="ctr"/>
        <c:lblOffset val="100"/>
        <c:noMultiLvlLbl val="0"/>
      </c:catAx>
      <c:valAx>
        <c:axId val="1900384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9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Behaviour Class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Sheet2!$N$4</c:f>
              <c:strCache>
                <c:ptCount val="1"/>
                <c:pt idx="0">
                  <c:v>Total</c:v>
                </c:pt>
              </c:strCache>
            </c:strRef>
          </c:tx>
          <c:spPr>
            <a:solidFill>
              <a:schemeClr val="accent1"/>
            </a:solidFill>
            <a:ln>
              <a:noFill/>
            </a:ln>
            <a:effectLst/>
          </c:spPr>
          <c:invertIfNegative val="0"/>
          <c:cat>
            <c:strRef>
              <c:f>Sheet2!$M$5:$M$10</c:f>
              <c:strCache>
                <c:ptCount val="5"/>
                <c:pt idx="0">
                  <c:v>1</c:v>
                </c:pt>
                <c:pt idx="1">
                  <c:v>2</c:v>
                </c:pt>
                <c:pt idx="2">
                  <c:v>3</c:v>
                </c:pt>
                <c:pt idx="3">
                  <c:v>4</c:v>
                </c:pt>
                <c:pt idx="4">
                  <c:v>5</c:v>
                </c:pt>
              </c:strCache>
            </c:strRef>
          </c:cat>
          <c:val>
            <c:numRef>
              <c:f>Sheet2!$N$5:$N$10</c:f>
              <c:numCache>
                <c:formatCode>General</c:formatCode>
                <c:ptCount val="5"/>
                <c:pt idx="0">
                  <c:v>136</c:v>
                </c:pt>
                <c:pt idx="1">
                  <c:v>292</c:v>
                </c:pt>
                <c:pt idx="2">
                  <c:v>429</c:v>
                </c:pt>
                <c:pt idx="3">
                  <c:v>556</c:v>
                </c:pt>
                <c:pt idx="4">
                  <c:v>680</c:v>
                </c:pt>
              </c:numCache>
            </c:numRef>
          </c:val>
          <c:extLst>
            <c:ext xmlns:c16="http://schemas.microsoft.com/office/drawing/2014/chart" uri="{C3380CC4-5D6E-409C-BE32-E72D297353CC}">
              <c16:uniqueId val="{00000000-13F5-4BBD-B9C3-FD5E5C2C69BD}"/>
            </c:ext>
          </c:extLst>
        </c:ser>
        <c:dLbls>
          <c:showLegendKey val="0"/>
          <c:showVal val="0"/>
          <c:showCatName val="0"/>
          <c:showSerName val="0"/>
          <c:showPercent val="0"/>
          <c:showBubbleSize val="0"/>
        </c:dLbls>
        <c:gapWidth val="219"/>
        <c:overlap val="-27"/>
        <c:axId val="1900406856"/>
        <c:axId val="1900405056"/>
      </c:barChart>
      <c:catAx>
        <c:axId val="190040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05056"/>
        <c:crosses val="autoZero"/>
        <c:auto val="1"/>
        <c:lblAlgn val="ctr"/>
        <c:lblOffset val="100"/>
        <c:noMultiLvlLbl val="0"/>
      </c:catAx>
      <c:valAx>
        <c:axId val="190040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0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[Mobile user behaviour.xlsx]Sheet2!PivotTable20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Battery</a:t>
            </a:r>
            <a:r>
              <a:rPr lang="en-IN" baseline="0"/>
              <a:t> Drain/Hour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Sheet2!$F$8</c:f>
              <c:strCache>
                <c:ptCount val="1"/>
                <c:pt idx="0">
                  <c:v>Total</c:v>
                </c:pt>
              </c:strCache>
            </c:strRef>
          </c:tx>
          <c:spPr>
            <a:solidFill>
              <a:schemeClr val="accent1"/>
            </a:solidFill>
            <a:ln>
              <a:noFill/>
            </a:ln>
            <a:effectLst/>
          </c:spPr>
          <c:invertIfNegative val="0"/>
          <c:cat>
            <c:strRef>
              <c:f>Sheet2!$E$9:$E$14</c:f>
              <c:strCache>
                <c:ptCount val="5"/>
                <c:pt idx="0">
                  <c:v>Google Pixel 5</c:v>
                </c:pt>
                <c:pt idx="1">
                  <c:v>iPhone 12</c:v>
                </c:pt>
                <c:pt idx="2">
                  <c:v>OnePlus 9</c:v>
                </c:pt>
                <c:pt idx="3">
                  <c:v>Samsung Galaxy S21</c:v>
                </c:pt>
                <c:pt idx="4">
                  <c:v>Xiaomi Mi 11</c:v>
                </c:pt>
              </c:strCache>
            </c:strRef>
          </c:cat>
          <c:val>
            <c:numRef>
              <c:f>Sheet2!$F$9:$F$14</c:f>
              <c:numCache>
                <c:formatCode>General</c:formatCode>
                <c:ptCount val="5"/>
                <c:pt idx="0">
                  <c:v>307.38403771177815</c:v>
                </c:pt>
                <c:pt idx="1">
                  <c:v>303.49987824864189</c:v>
                </c:pt>
                <c:pt idx="2">
                  <c:v>301.72074874916069</c:v>
                </c:pt>
                <c:pt idx="3">
                  <c:v>291.25309221453028</c:v>
                </c:pt>
                <c:pt idx="4">
                  <c:v>305.54901786450489</c:v>
                </c:pt>
              </c:numCache>
            </c:numRef>
          </c:val>
          <c:extLst>
            <c:ext xmlns:c16="http://schemas.microsoft.com/office/drawing/2014/chart" uri="{C3380CC4-5D6E-409C-BE32-E72D297353CC}">
              <c16:uniqueId val="{00000000-4631-4CA5-847F-56C544796C38}"/>
            </c:ext>
          </c:extLst>
        </c:ser>
        <c:dLbls>
          <c:showLegendKey val="0"/>
          <c:showVal val="0"/>
          <c:showCatName val="0"/>
          <c:showSerName val="0"/>
          <c:showPercent val="0"/>
          <c:showBubbleSize val="0"/>
        </c:dLbls>
        <c:gapWidth val="219"/>
        <c:overlap val="-27"/>
        <c:axId val="1131804984"/>
        <c:axId val="1131805344"/>
      </c:barChart>
      <c:catAx>
        <c:axId val="1131804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05344"/>
        <c:crosses val="autoZero"/>
        <c:auto val="1"/>
        <c:lblAlgn val="ctr"/>
        <c:lblOffset val="100"/>
        <c:noMultiLvlLbl val="0"/>
      </c:catAx>
      <c:valAx>
        <c:axId val="113180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0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381000</xdr:colOff>
      <xdr:row>16</xdr:row>
      <xdr:rowOff>121920</xdr:rowOff>
    </xdr:from>
    <xdr:to>
      <xdr:col>13</xdr:col>
      <xdr:colOff>556260</xdr:colOff>
      <xdr:row>28</xdr:row>
      <xdr:rowOff>121920</xdr:rowOff>
    </xdr:to>
    <xdr:graphicFrame macro="">
      <xdr:nvGraphicFramePr>
        <xdr:cNvPr id="3" name="Chart 2">
          <a:extLst>
            <a:ext uri="{FF2B5EF4-FFF2-40B4-BE49-F238E27FC236}">
              <a16:creationId xmlns:a16="http://schemas.microsoft.com/office/drawing/2014/main" id="{D3566E2A-1662-4657-A9DC-730E4EA29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114300</xdr:rowOff>
    </xdr:from>
    <xdr:to>
      <xdr:col>5</xdr:col>
      <xdr:colOff>114300</xdr:colOff>
      <xdr:row>16</xdr:row>
      <xdr:rowOff>83820</xdr:rowOff>
    </xdr:to>
    <xdr:graphicFrame macro="">
      <xdr:nvGraphicFramePr>
        <xdr:cNvPr id="4" name="Chart 3">
          <a:extLst>
            <a:ext uri="{FF2B5EF4-FFF2-40B4-BE49-F238E27FC236}">
              <a16:creationId xmlns:a16="http://schemas.microsoft.com/office/drawing/2014/main" id="{D8E9641D-483C-4C71-B463-6DB94ED2C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129540</xdr:rowOff>
    </xdr:from>
    <xdr:to>
      <xdr:col>3</xdr:col>
      <xdr:colOff>495300</xdr:colOff>
      <xdr:row>28</xdr:row>
      <xdr:rowOff>91440</xdr:rowOff>
    </xdr:to>
    <xdr:graphicFrame macro="">
      <xdr:nvGraphicFramePr>
        <xdr:cNvPr id="5" name="Chart 4">
          <a:extLst>
            <a:ext uri="{FF2B5EF4-FFF2-40B4-BE49-F238E27FC236}">
              <a16:creationId xmlns:a16="http://schemas.microsoft.com/office/drawing/2014/main" id="{B5FAD3D0-05B7-4855-A5DB-B3270C7D3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518160</xdr:colOff>
      <xdr:row>16</xdr:row>
      <xdr:rowOff>129540</xdr:rowOff>
    </xdr:from>
    <xdr:to>
      <xdr:col>8</xdr:col>
      <xdr:colOff>365760</xdr:colOff>
      <xdr:row>28</xdr:row>
      <xdr:rowOff>99060</xdr:rowOff>
    </xdr:to>
    <xdr:graphicFrame macro="">
      <xdr:nvGraphicFramePr>
        <xdr:cNvPr id="6" name="Chart 5">
          <a:extLst>
            <a:ext uri="{FF2B5EF4-FFF2-40B4-BE49-F238E27FC236}">
              <a16:creationId xmlns:a16="http://schemas.microsoft.com/office/drawing/2014/main" id="{559C79A5-15B2-4D76-B261-783E984A5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480060</xdr:colOff>
      <xdr:row>4</xdr:row>
      <xdr:rowOff>121920</xdr:rowOff>
    </xdr:from>
    <xdr:to>
      <xdr:col>15</xdr:col>
      <xdr:colOff>571500</xdr:colOff>
      <xdr:row>16</xdr:row>
      <xdr:rowOff>68580</xdr:rowOff>
    </xdr:to>
    <xdr:graphicFrame macro="">
      <xdr:nvGraphicFramePr>
        <xdr:cNvPr id="7" name="Chart 6">
          <a:extLst>
            <a:ext uri="{FF2B5EF4-FFF2-40B4-BE49-F238E27FC236}">
              <a16:creationId xmlns:a16="http://schemas.microsoft.com/office/drawing/2014/main" id="{70320875-444B-45C2-9A14-32BB38B4F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160020</xdr:colOff>
      <xdr:row>4</xdr:row>
      <xdr:rowOff>121920</xdr:rowOff>
    </xdr:from>
    <xdr:to>
      <xdr:col>10</xdr:col>
      <xdr:colOff>441960</xdr:colOff>
      <xdr:row>16</xdr:row>
      <xdr:rowOff>83820</xdr:rowOff>
    </xdr:to>
    <xdr:graphicFrame macro="">
      <xdr:nvGraphicFramePr>
        <xdr:cNvPr id="8" name="Chart 7">
          <a:extLst>
            <a:ext uri="{FF2B5EF4-FFF2-40B4-BE49-F238E27FC236}">
              <a16:creationId xmlns:a16="http://schemas.microsoft.com/office/drawing/2014/main" id="{286DB147-3377-4B46-924F-420A9209F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571500</xdr:colOff>
      <xdr:row>16</xdr:row>
      <xdr:rowOff>121920</xdr:rowOff>
    </xdr:from>
    <xdr:to>
      <xdr:col>18</xdr:col>
      <xdr:colOff>381000</xdr:colOff>
      <xdr:row>28</xdr:row>
      <xdr:rowOff>106680</xdr:rowOff>
    </xdr:to>
    <xdr:graphicFrame macro="">
      <xdr:nvGraphicFramePr>
        <xdr:cNvPr id="9" name="Chart 8">
          <a:extLst>
            <a:ext uri="{FF2B5EF4-FFF2-40B4-BE49-F238E27FC236}">
              <a16:creationId xmlns:a16="http://schemas.microsoft.com/office/drawing/2014/main" id="{A728FD45-BF83-4373-8D2A-383D6155C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396240</xdr:colOff>
      <xdr:row>16</xdr:row>
      <xdr:rowOff>129540</xdr:rowOff>
    </xdr:from>
    <xdr:to>
      <xdr:col>23</xdr:col>
      <xdr:colOff>60960</xdr:colOff>
      <xdr:row>28</xdr:row>
      <xdr:rowOff>106680</xdr:rowOff>
    </xdr:to>
    <xdr:graphicFrame macro="">
      <xdr:nvGraphicFramePr>
        <xdr:cNvPr id="10" name="Chart 9">
          <a:extLst>
            <a:ext uri="{FF2B5EF4-FFF2-40B4-BE49-F238E27FC236}">
              <a16:creationId xmlns:a16="http://schemas.microsoft.com/office/drawing/2014/main" id="{6EA79A3A-4438-4B18-84D0-8941E902C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15240</xdr:colOff>
      <xdr:row>4</xdr:row>
      <xdr:rowOff>121920</xdr:rowOff>
    </xdr:from>
    <xdr:to>
      <xdr:col>21</xdr:col>
      <xdr:colOff>243840</xdr:colOff>
      <xdr:row>16</xdr:row>
      <xdr:rowOff>68580</xdr:rowOff>
    </xdr:to>
    <xdr:graphicFrame macro="">
      <xdr:nvGraphicFramePr>
        <xdr:cNvPr id="12" name="Chart 11">
          <a:extLst>
            <a:ext uri="{FF2B5EF4-FFF2-40B4-BE49-F238E27FC236}">
              <a16:creationId xmlns:a16="http://schemas.microsoft.com/office/drawing/2014/main" id="{E747D1E6-60AD-4967-A102-4DA252208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266700</xdr:colOff>
      <xdr:row>4</xdr:row>
      <xdr:rowOff>106680</xdr:rowOff>
    </xdr:from>
    <xdr:to>
      <xdr:col>23</xdr:col>
      <xdr:colOff>83820</xdr:colOff>
      <xdr:row>16</xdr:row>
      <xdr:rowOff>83820</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D1846320-9812-9040-8D7F-5E1D69F28C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068300" y="845820"/>
              <a:ext cx="103632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266700</xdr:colOff>
      <xdr:row>0</xdr:row>
      <xdr:rowOff>76200</xdr:rowOff>
    </xdr:from>
    <xdr:to>
      <xdr:col>8</xdr:col>
      <xdr:colOff>350520</xdr:colOff>
      <xdr:row>4</xdr:row>
      <xdr:rowOff>83820</xdr:rowOff>
    </xdr:to>
    <xdr:sp macro="" textlink="Sheet2!B20">
      <xdr:nvSpPr>
        <xdr:cNvPr id="14" name="Rectangle: Rounded Corners 13">
          <a:extLst>
            <a:ext uri="{FF2B5EF4-FFF2-40B4-BE49-F238E27FC236}">
              <a16:creationId xmlns:a16="http://schemas.microsoft.com/office/drawing/2014/main" id="{A3E89691-3DA5-F99E-96DC-6BD1D1D4E88C}"/>
            </a:ext>
          </a:extLst>
        </xdr:cNvPr>
        <xdr:cNvSpPr/>
      </xdr:nvSpPr>
      <xdr:spPr>
        <a:xfrm>
          <a:off x="3314700" y="76200"/>
          <a:ext cx="19126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DAD3FC-486C-4A81-843C-922B0ACA2F56}" type="TxLink">
            <a:rPr lang="en-US" sz="1600" b="0" i="0" u="none" strike="noStrike">
              <a:solidFill>
                <a:srgbClr val="000000"/>
              </a:solidFill>
              <a:latin typeface="Calibri"/>
              <a:ea typeface="Calibri"/>
              <a:cs typeface="Calibri"/>
            </a:rPr>
            <a:pPr algn="ctr"/>
            <a:t>700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User</a:t>
          </a:r>
          <a:endParaRPr lang="en-IN" sz="1600"/>
        </a:p>
      </xdr:txBody>
    </xdr:sp>
    <xdr:clientData/>
  </xdr:twoCellAnchor>
  <xdr:twoCellAnchor>
    <xdr:from>
      <xdr:col>8</xdr:col>
      <xdr:colOff>434340</xdr:colOff>
      <xdr:row>0</xdr:row>
      <xdr:rowOff>60960</xdr:rowOff>
    </xdr:from>
    <xdr:to>
      <xdr:col>11</xdr:col>
      <xdr:colOff>518160</xdr:colOff>
      <xdr:row>4</xdr:row>
      <xdr:rowOff>68580</xdr:rowOff>
    </xdr:to>
    <xdr:sp macro="" textlink="Sheet2!B23">
      <xdr:nvSpPr>
        <xdr:cNvPr id="15" name="Rectangle: Rounded Corners 14">
          <a:extLst>
            <a:ext uri="{FF2B5EF4-FFF2-40B4-BE49-F238E27FC236}">
              <a16:creationId xmlns:a16="http://schemas.microsoft.com/office/drawing/2014/main" id="{C2FED5D3-9ED5-4DA6-AB33-54BF17D95DEC}"/>
            </a:ext>
          </a:extLst>
        </xdr:cNvPr>
        <xdr:cNvSpPr/>
      </xdr:nvSpPr>
      <xdr:spPr>
        <a:xfrm>
          <a:off x="5311140" y="60960"/>
          <a:ext cx="19126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C67958-2051-42B2-B0DA-F9ACA5669404}" type="TxLink">
            <a:rPr lang="en-US" sz="1600" b="0" i="0" u="none" strike="noStrike">
              <a:solidFill>
                <a:srgbClr val="000000"/>
              </a:solidFill>
              <a:latin typeface="Calibri"/>
              <a:ea typeface="Calibri"/>
              <a:cs typeface="Calibri"/>
            </a:rPr>
            <a:pPr algn="ctr"/>
            <a:t>38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Average User Age</a:t>
          </a:r>
          <a:endParaRPr lang="en-IN" sz="1600"/>
        </a:p>
      </xdr:txBody>
    </xdr:sp>
    <xdr:clientData/>
  </xdr:twoCellAnchor>
  <xdr:twoCellAnchor>
    <xdr:from>
      <xdr:col>11</xdr:col>
      <xdr:colOff>594360</xdr:colOff>
      <xdr:row>0</xdr:row>
      <xdr:rowOff>45720</xdr:rowOff>
    </xdr:from>
    <xdr:to>
      <xdr:col>15</xdr:col>
      <xdr:colOff>68580</xdr:colOff>
      <xdr:row>4</xdr:row>
      <xdr:rowOff>53340</xdr:rowOff>
    </xdr:to>
    <xdr:sp macro="" textlink="Sheet2!C23">
      <xdr:nvSpPr>
        <xdr:cNvPr id="16" name="Rectangle: Rounded Corners 15">
          <a:extLst>
            <a:ext uri="{FF2B5EF4-FFF2-40B4-BE49-F238E27FC236}">
              <a16:creationId xmlns:a16="http://schemas.microsoft.com/office/drawing/2014/main" id="{B9753DC0-E8C1-42D7-BFD3-2C82635BD956}"/>
            </a:ext>
          </a:extLst>
        </xdr:cNvPr>
        <xdr:cNvSpPr/>
      </xdr:nvSpPr>
      <xdr:spPr>
        <a:xfrm>
          <a:off x="7299960" y="45720"/>
          <a:ext cx="19126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F801757-41B8-4B3A-82C4-5B3CB5748CE9}" type="TxLink">
            <a:rPr lang="en-US" sz="1600" b="0" i="0" u="none" strike="noStrike">
              <a:solidFill>
                <a:srgbClr val="000000"/>
              </a:solidFill>
              <a:latin typeface="Calibri"/>
              <a:ea typeface="Calibri"/>
              <a:cs typeface="Calibri"/>
            </a:rPr>
            <a:pPr algn="ctr"/>
            <a:t>5</a:t>
          </a:fld>
          <a:r>
            <a:rPr lang="en-US" sz="1600" b="0" i="0" u="none" strike="noStrike">
              <a:solidFill>
                <a:srgbClr val="000000"/>
              </a:solidFill>
              <a:latin typeface="Calibri"/>
              <a:ea typeface="Calibri"/>
              <a:cs typeface="Calibri"/>
            </a:rPr>
            <a:t> hours</a:t>
          </a: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Screen Time</a:t>
          </a:r>
          <a:endParaRPr lang="en-IN" sz="1600"/>
        </a:p>
      </xdr:txBody>
    </xdr:sp>
    <xdr:clientData/>
  </xdr:twoCellAnchor>
  <xdr:twoCellAnchor>
    <xdr:from>
      <xdr:col>15</xdr:col>
      <xdr:colOff>160020</xdr:colOff>
      <xdr:row>0</xdr:row>
      <xdr:rowOff>53340</xdr:rowOff>
    </xdr:from>
    <xdr:to>
      <xdr:col>18</xdr:col>
      <xdr:colOff>243840</xdr:colOff>
      <xdr:row>4</xdr:row>
      <xdr:rowOff>60960</xdr:rowOff>
    </xdr:to>
    <xdr:sp macro="" textlink="Sheet2!E16">
      <xdr:nvSpPr>
        <xdr:cNvPr id="17" name="Rectangle: Rounded Corners 16">
          <a:extLst>
            <a:ext uri="{FF2B5EF4-FFF2-40B4-BE49-F238E27FC236}">
              <a16:creationId xmlns:a16="http://schemas.microsoft.com/office/drawing/2014/main" id="{3B70AF45-E09D-4954-BA4A-CAE0D1CCBF4C}"/>
            </a:ext>
          </a:extLst>
        </xdr:cNvPr>
        <xdr:cNvSpPr/>
      </xdr:nvSpPr>
      <xdr:spPr>
        <a:xfrm>
          <a:off x="9304020" y="53340"/>
          <a:ext cx="19126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F42C35-16BA-4836-9BAF-08CDB483873C}" type="TxLink">
            <a:rPr lang="en-US" sz="1600" b="0" i="0" u="none" strike="noStrike">
              <a:solidFill>
                <a:srgbClr val="000000"/>
              </a:solidFill>
              <a:latin typeface="Calibri"/>
              <a:ea typeface="Calibri"/>
              <a:cs typeface="Calibri"/>
            </a:rPr>
            <a:pPr algn="ctr"/>
            <a:t>930</a:t>
          </a:fld>
          <a:r>
            <a:rPr lang="en-US" sz="1600" b="0" i="0" u="none" strike="noStrike">
              <a:solidFill>
                <a:srgbClr val="000000"/>
              </a:solidFill>
              <a:latin typeface="Calibri"/>
              <a:ea typeface="Calibri"/>
              <a:cs typeface="Calibri"/>
            </a:rPr>
            <a:t> MB</a:t>
          </a:r>
        </a:p>
        <a:p>
          <a:pPr algn="ctr"/>
          <a:r>
            <a:rPr lang="en-US" sz="1600" b="0" i="0" u="none" strike="noStrike">
              <a:solidFill>
                <a:srgbClr val="000000"/>
              </a:solidFill>
              <a:latin typeface="Calibri"/>
              <a:ea typeface="Calibri"/>
              <a:cs typeface="Calibri"/>
            </a:rPr>
            <a:t> Avg Data Use/Day</a:t>
          </a:r>
          <a:endParaRPr lang="en-IN" sz="1600"/>
        </a:p>
      </xdr:txBody>
    </xdr:sp>
    <xdr:clientData/>
  </xdr:twoCellAnchor>
  <xdr:twoCellAnchor>
    <xdr:from>
      <xdr:col>18</xdr:col>
      <xdr:colOff>327660</xdr:colOff>
      <xdr:row>0</xdr:row>
      <xdr:rowOff>53340</xdr:rowOff>
    </xdr:from>
    <xdr:to>
      <xdr:col>21</xdr:col>
      <xdr:colOff>411480</xdr:colOff>
      <xdr:row>4</xdr:row>
      <xdr:rowOff>60960</xdr:rowOff>
    </xdr:to>
    <xdr:sp macro="" textlink="Sheet2!E6">
      <xdr:nvSpPr>
        <xdr:cNvPr id="18" name="Rectangle: Rounded Corners 17">
          <a:extLst>
            <a:ext uri="{FF2B5EF4-FFF2-40B4-BE49-F238E27FC236}">
              <a16:creationId xmlns:a16="http://schemas.microsoft.com/office/drawing/2014/main" id="{E10B496B-892F-43DB-9D9D-0768196BE6C1}"/>
            </a:ext>
          </a:extLst>
        </xdr:cNvPr>
        <xdr:cNvSpPr/>
      </xdr:nvSpPr>
      <xdr:spPr>
        <a:xfrm>
          <a:off x="11300460" y="53340"/>
          <a:ext cx="191262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0EBF13-ECA6-435F-9BAE-A6C71D3B5D74}" type="TxLink">
            <a:rPr lang="en-US" sz="1600" b="0" i="0" u="none" strike="noStrike">
              <a:solidFill>
                <a:srgbClr val="000000"/>
              </a:solidFill>
              <a:latin typeface="Calibri"/>
              <a:ea typeface="Calibri"/>
              <a:cs typeface="Calibri"/>
            </a:rPr>
            <a:pPr algn="ctr"/>
            <a:t>51</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App </a:t>
          </a:r>
          <a:r>
            <a:rPr lang="en-US" sz="1600" b="0" i="0" u="none" strike="noStrike">
              <a:solidFill>
                <a:srgbClr val="000000"/>
              </a:solidFill>
              <a:latin typeface="Calibri"/>
              <a:ea typeface="Calibri"/>
              <a:cs typeface="Calibri"/>
            </a:rPr>
            <a:t>Installed</a:t>
          </a:r>
          <a:endParaRPr lang="en-IN" sz="1600"/>
        </a:p>
      </xdr:txBody>
    </xdr:sp>
    <xdr:clientData/>
  </xdr:twoCellAnchor>
  <xdr:twoCellAnchor>
    <xdr:from>
      <xdr:col>1</xdr:col>
      <xdr:colOff>502920</xdr:colOff>
      <xdr:row>0</xdr:row>
      <xdr:rowOff>53340</xdr:rowOff>
    </xdr:from>
    <xdr:to>
      <xdr:col>5</xdr:col>
      <xdr:colOff>205740</xdr:colOff>
      <xdr:row>4</xdr:row>
      <xdr:rowOff>60960</xdr:rowOff>
    </xdr:to>
    <xdr:sp macro="" textlink="">
      <xdr:nvSpPr>
        <xdr:cNvPr id="19" name="Rectangle: Rounded Corners 18">
          <a:extLst>
            <a:ext uri="{FF2B5EF4-FFF2-40B4-BE49-F238E27FC236}">
              <a16:creationId xmlns:a16="http://schemas.microsoft.com/office/drawing/2014/main" id="{F1BB4595-B55F-F0B3-112B-18AFD776AC00}"/>
            </a:ext>
          </a:extLst>
        </xdr:cNvPr>
        <xdr:cNvSpPr/>
      </xdr:nvSpPr>
      <xdr:spPr>
        <a:xfrm>
          <a:off x="1112520" y="53340"/>
          <a:ext cx="214122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Mobile User</a:t>
          </a:r>
        </a:p>
        <a:p>
          <a:pPr algn="l"/>
          <a:r>
            <a:rPr lang="en-IN" sz="1800" b="1" baseline="0"/>
            <a:t>Behaviour Analysis</a:t>
          </a:r>
          <a:endParaRPr lang="en-IN" sz="1800" b="1"/>
        </a:p>
      </xdr:txBody>
    </xdr:sp>
    <xdr:clientData/>
  </xdr:twoCellAnchor>
  <xdr:twoCellAnchor editAs="oneCell">
    <xdr:from>
      <xdr:col>0</xdr:col>
      <xdr:colOff>68580</xdr:colOff>
      <xdr:row>0</xdr:row>
      <xdr:rowOff>0</xdr:rowOff>
    </xdr:from>
    <xdr:to>
      <xdr:col>1</xdr:col>
      <xdr:colOff>449580</xdr:colOff>
      <xdr:row>4</xdr:row>
      <xdr:rowOff>56872</xdr:rowOff>
    </xdr:to>
    <xdr:pic>
      <xdr:nvPicPr>
        <xdr:cNvPr id="31" name="Picture 30">
          <a:extLst>
            <a:ext uri="{FF2B5EF4-FFF2-40B4-BE49-F238E27FC236}">
              <a16:creationId xmlns:a16="http://schemas.microsoft.com/office/drawing/2014/main" id="{EF347117-FD97-413D-F77F-BF03BD84C58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580" y="0"/>
          <a:ext cx="990600" cy="796012"/>
        </a:xfrm>
        <a:prstGeom prst="rect">
          <a:avLst/>
        </a:prstGeom>
      </xdr:spPr>
    </xdr:pic>
    <xdr:clientData/>
  </xdr:twoCellAnchor>
  <xdr:twoCellAnchor editAs="oneCell">
    <xdr:from>
      <xdr:col>21</xdr:col>
      <xdr:colOff>464820</xdr:colOff>
      <xdr:row>0</xdr:row>
      <xdr:rowOff>0</xdr:rowOff>
    </xdr:from>
    <xdr:to>
      <xdr:col>23</xdr:col>
      <xdr:colOff>76199</xdr:colOff>
      <xdr:row>4</xdr:row>
      <xdr:rowOff>30480</xdr:rowOff>
    </xdr:to>
    <xdr:pic>
      <xdr:nvPicPr>
        <xdr:cNvPr id="33" name="Picture 32">
          <a:extLst>
            <a:ext uri="{FF2B5EF4-FFF2-40B4-BE49-F238E27FC236}">
              <a16:creationId xmlns:a16="http://schemas.microsoft.com/office/drawing/2014/main" id="{A43B62C9-A356-84D0-0C0D-C98AB8BE9C3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266420" y="0"/>
          <a:ext cx="830579" cy="7696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64123148151" backgroundQuery="1" createdVersion="8" refreshedVersion="8" minRefreshableVersion="3" recordCount="0" supportSubquery="1" supportAdvancedDrill="1" xr:uid="{396F49DF-EDE4-4333-84C6-E1DCCB692AEA}">
  <cacheSource type="external" connectionId="3"/>
  <cacheFields count="1">
    <cacheField name="[Measures].[Average of Data Usage (MB/day)]" caption="Average of Data Usage (MB/day)" numFmtId="0" hierarchy="39" level="32767"/>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0" memberValueDatatype="130" unbalanced="0"/>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615741" backgroundQuery="1" createdVersion="8" refreshedVersion="8" minRefreshableVersion="3" recordCount="0" supportSubquery="1" supportAdvancedDrill="1" xr:uid="{D4952D33-3AC4-46F3-99B7-EF391304F938}">
  <cacheSource type="external" connectionId="3"/>
  <cacheFields count="3">
    <cacheField name="[user_behavior_dataset 1].[Device Model].[Device Model]" caption="Device Model" numFmtId="0" hierarchy="15" level="1">
      <sharedItems count="5">
        <s v="Google Pixel 5"/>
        <s v="iPhone 12"/>
        <s v="OnePlus 9"/>
        <s v="Samsung Galaxy S21"/>
        <s v="Xiaomi Mi 11"/>
      </sharedItems>
    </cacheField>
    <cacheField name="[Measures].[Count of User ID]" caption="Count of User ID" numFmtId="0" hierarchy="34"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2" memberValueDatatype="130" unbalanced="0">
      <fieldsUsage count="2">
        <fieldUsage x="-1"/>
        <fieldUsage x="0"/>
      </fieldsUsage>
    </cacheHierarchy>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6620372" backgroundQuery="1" createdVersion="8" refreshedVersion="8" minRefreshableVersion="3" recordCount="0" supportSubquery="1" supportAdvancedDrill="1" xr:uid="{284A6B2C-6419-43AD-8E08-D3D18766D066}">
  <cacheSource type="external" connectionId="3"/>
  <cacheFields count="3">
    <cacheField name="[user_behavior_dataset].[Age Group].[Age Group]" caption="Age Group" numFmtId="0" hierarchy="11" level="1">
      <sharedItems count="9">
        <s v="18-20"/>
        <s v="20-25"/>
        <s v="25-30"/>
        <s v="30-35"/>
        <s v="35-40"/>
        <s v="40-45"/>
        <s v="45-50"/>
        <s v="50-55"/>
        <s v="55-60"/>
      </sharedItems>
    </cacheField>
    <cacheField name="[Measures].[Count of Age Group]" caption="Count of Age Group" numFmtId="0" hierarchy="47"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2" memberValueDatatype="130" unbalanced="0">
      <fieldsUsage count="2">
        <fieldUsage x="-1"/>
        <fieldUsage x="0"/>
      </fieldsUsage>
    </cacheHierarchy>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7083334" backgroundQuery="1" createdVersion="8" refreshedVersion="8" minRefreshableVersion="3" recordCount="0" supportSubquery="1" supportAdvancedDrill="1" xr:uid="{2C95D26A-ED73-43B5-87AA-0FA9E19DA9E7}">
  <cacheSource type="external" connectionId="3"/>
  <cacheFields count="3">
    <cacheField name="[user_behavior_dataset].[Age Group].[Age Group]" caption="Age Group" numFmtId="0" hierarchy="11" level="1">
      <sharedItems count="9">
        <s v="18-20"/>
        <s v="20-25"/>
        <s v="25-30"/>
        <s v="30-35"/>
        <s v="35-40"/>
        <s v="40-45"/>
        <s v="45-50"/>
        <s v="50-55"/>
        <s v="55-60"/>
      </sharedItems>
    </cacheField>
    <cacheField name="[Measures].[Sum of App Usage Time (min/day) 2]" caption="Sum of App Usage Time (min/day) 2" numFmtId="0" hierarchy="41"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2" memberValueDatatype="130" unbalanced="0">
      <fieldsUsage count="2">
        <fieldUsage x="-1"/>
        <fieldUsage x="0"/>
      </fieldsUsage>
    </cacheHierarchy>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7546296" backgroundQuery="1" createdVersion="8" refreshedVersion="8" minRefreshableVersion="3" recordCount="0" supportSubquery="1" supportAdvancedDrill="1" xr:uid="{C1484CEB-56DA-4E18-B749-87E550C9DE62}">
  <cacheSource type="external" connectionId="3"/>
  <cacheFields count="3">
    <cacheField name="[user_behavior_dataset 1].[Operating System].[Operating System]" caption="Operating System" numFmtId="0" hierarchy="16" level="1">
      <sharedItems count="2">
        <s v="Android"/>
        <s v="iOS"/>
      </sharedItems>
    </cacheField>
    <cacheField name="[Measures].[Sum of Screen On Time (hours/day)]" caption="Sum of Screen On Time (hours/day)" numFmtId="0" hierarchy="32"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2" memberValueDatatype="130" unbalanced="0">
      <fieldsUsage count="2">
        <fieldUsage x="-1"/>
        <fieldUsage x="0"/>
      </fieldsUsage>
    </cacheHierarchy>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8009258" backgroundQuery="1" createdVersion="8" refreshedVersion="8" minRefreshableVersion="3" recordCount="0" supportSubquery="1" supportAdvancedDrill="1" xr:uid="{1729F6DC-E51E-4C8A-959E-5093903B38D8}">
  <cacheSource type="external" connectionId="3"/>
  <cacheFields count="3">
    <cacheField name="[user_behavior_dataset 1].[Number of Apps Installed].[Number of Apps Installed]" caption="Number of Apps Installed" numFmtId="0" hierarchy="20" level="1">
      <sharedItems containsSemiMixedTypes="0" containsString="0" containsNumber="1" containsInteger="1" minValue="10" maxValue="99" count="86">
        <n v="10"/>
        <n v="11"/>
        <n v="12"/>
        <n v="13"/>
        <n v="14"/>
        <n v="15"/>
        <n v="16"/>
        <n v="17"/>
        <n v="18"/>
        <n v="19"/>
        <n v="21"/>
        <n v="22"/>
        <n v="23"/>
        <n v="24"/>
        <n v="25"/>
        <n v="26"/>
        <n v="27"/>
        <n v="28"/>
        <n v="29"/>
        <n v="30"/>
        <n v="31"/>
        <n v="32"/>
        <n v="33"/>
        <n v="34"/>
        <n v="35"/>
        <n v="36"/>
        <n v="37"/>
        <n v="38"/>
        <n v="39"/>
        <n v="41"/>
        <n v="42"/>
        <n v="43"/>
        <n v="44"/>
        <n v="45"/>
        <n v="46"/>
        <n v="47"/>
        <n v="48"/>
        <n v="49"/>
        <n v="50"/>
        <n v="51"/>
        <n v="52"/>
        <n v="53"/>
        <n v="54"/>
        <n v="55"/>
        <n v="56"/>
        <n v="57"/>
        <n v="58"/>
        <n v="59"/>
        <n v="61"/>
        <n v="62"/>
        <n v="63"/>
        <n v="64"/>
        <n v="65"/>
        <n v="66"/>
        <n v="67"/>
        <n v="68"/>
        <n v="69"/>
        <n v="70"/>
        <n v="71"/>
        <n v="72"/>
        <n v="73"/>
        <n v="74"/>
        <n v="75"/>
        <n v="76"/>
        <n v="77"/>
        <n v="78"/>
        <n v="79"/>
        <n v="81"/>
        <n v="82"/>
        <n v="83"/>
        <n v="84"/>
        <n v="85"/>
        <n v="86"/>
        <n v="87"/>
        <n v="88"/>
        <n v="89"/>
        <n v="90"/>
        <n v="91"/>
        <n v="92"/>
        <n v="93"/>
        <n v="94"/>
        <n v="95"/>
        <n v="96"/>
        <n v="97"/>
        <n v="98"/>
        <n v="99"/>
      </sharedItems>
      <extLst>
        <ext xmlns:x15="http://schemas.microsoft.com/office/spreadsheetml/2010/11/main" uri="{4F2E5C28-24EA-4eb8-9CBF-B6C8F9C3D259}">
          <x15:cachedUniqueNames>
            <x15:cachedUniqueName index="0" name="[user_behavior_dataset 1].[Number of Apps Installed].&amp;[10]"/>
            <x15:cachedUniqueName index="1" name="[user_behavior_dataset 1].[Number of Apps Installed].&amp;[11]"/>
            <x15:cachedUniqueName index="2" name="[user_behavior_dataset 1].[Number of Apps Installed].&amp;[12]"/>
            <x15:cachedUniqueName index="3" name="[user_behavior_dataset 1].[Number of Apps Installed].&amp;[13]"/>
            <x15:cachedUniqueName index="4" name="[user_behavior_dataset 1].[Number of Apps Installed].&amp;[14]"/>
            <x15:cachedUniqueName index="5" name="[user_behavior_dataset 1].[Number of Apps Installed].&amp;[15]"/>
            <x15:cachedUniqueName index="6" name="[user_behavior_dataset 1].[Number of Apps Installed].&amp;[16]"/>
            <x15:cachedUniqueName index="7" name="[user_behavior_dataset 1].[Number of Apps Installed].&amp;[17]"/>
            <x15:cachedUniqueName index="8" name="[user_behavior_dataset 1].[Number of Apps Installed].&amp;[18]"/>
            <x15:cachedUniqueName index="9" name="[user_behavior_dataset 1].[Number of Apps Installed].&amp;[19]"/>
            <x15:cachedUniqueName index="10" name="[user_behavior_dataset 1].[Number of Apps Installed].&amp;[21]"/>
            <x15:cachedUniqueName index="11" name="[user_behavior_dataset 1].[Number of Apps Installed].&amp;[22]"/>
            <x15:cachedUniqueName index="12" name="[user_behavior_dataset 1].[Number of Apps Installed].&amp;[23]"/>
            <x15:cachedUniqueName index="13" name="[user_behavior_dataset 1].[Number of Apps Installed].&amp;[24]"/>
            <x15:cachedUniqueName index="14" name="[user_behavior_dataset 1].[Number of Apps Installed].&amp;[25]"/>
            <x15:cachedUniqueName index="15" name="[user_behavior_dataset 1].[Number of Apps Installed].&amp;[26]"/>
            <x15:cachedUniqueName index="16" name="[user_behavior_dataset 1].[Number of Apps Installed].&amp;[27]"/>
            <x15:cachedUniqueName index="17" name="[user_behavior_dataset 1].[Number of Apps Installed].&amp;[28]"/>
            <x15:cachedUniqueName index="18" name="[user_behavior_dataset 1].[Number of Apps Installed].&amp;[29]"/>
            <x15:cachedUniqueName index="19" name="[user_behavior_dataset 1].[Number of Apps Installed].&amp;[30]"/>
            <x15:cachedUniqueName index="20" name="[user_behavior_dataset 1].[Number of Apps Installed].&amp;[31]"/>
            <x15:cachedUniqueName index="21" name="[user_behavior_dataset 1].[Number of Apps Installed].&amp;[32]"/>
            <x15:cachedUniqueName index="22" name="[user_behavior_dataset 1].[Number of Apps Installed].&amp;[33]"/>
            <x15:cachedUniqueName index="23" name="[user_behavior_dataset 1].[Number of Apps Installed].&amp;[34]"/>
            <x15:cachedUniqueName index="24" name="[user_behavior_dataset 1].[Number of Apps Installed].&amp;[35]"/>
            <x15:cachedUniqueName index="25" name="[user_behavior_dataset 1].[Number of Apps Installed].&amp;[36]"/>
            <x15:cachedUniqueName index="26" name="[user_behavior_dataset 1].[Number of Apps Installed].&amp;[37]"/>
            <x15:cachedUniqueName index="27" name="[user_behavior_dataset 1].[Number of Apps Installed].&amp;[38]"/>
            <x15:cachedUniqueName index="28" name="[user_behavior_dataset 1].[Number of Apps Installed].&amp;[39]"/>
            <x15:cachedUniqueName index="29" name="[user_behavior_dataset 1].[Number of Apps Installed].&amp;[41]"/>
            <x15:cachedUniqueName index="30" name="[user_behavior_dataset 1].[Number of Apps Installed].&amp;[42]"/>
            <x15:cachedUniqueName index="31" name="[user_behavior_dataset 1].[Number of Apps Installed].&amp;[43]"/>
            <x15:cachedUniqueName index="32" name="[user_behavior_dataset 1].[Number of Apps Installed].&amp;[44]"/>
            <x15:cachedUniqueName index="33" name="[user_behavior_dataset 1].[Number of Apps Installed].&amp;[45]"/>
            <x15:cachedUniqueName index="34" name="[user_behavior_dataset 1].[Number of Apps Installed].&amp;[46]"/>
            <x15:cachedUniqueName index="35" name="[user_behavior_dataset 1].[Number of Apps Installed].&amp;[47]"/>
            <x15:cachedUniqueName index="36" name="[user_behavior_dataset 1].[Number of Apps Installed].&amp;[48]"/>
            <x15:cachedUniqueName index="37" name="[user_behavior_dataset 1].[Number of Apps Installed].&amp;[49]"/>
            <x15:cachedUniqueName index="38" name="[user_behavior_dataset 1].[Number of Apps Installed].&amp;[50]"/>
            <x15:cachedUniqueName index="39" name="[user_behavior_dataset 1].[Number of Apps Installed].&amp;[51]"/>
            <x15:cachedUniqueName index="40" name="[user_behavior_dataset 1].[Number of Apps Installed].&amp;[52]"/>
            <x15:cachedUniqueName index="41" name="[user_behavior_dataset 1].[Number of Apps Installed].&amp;[53]"/>
            <x15:cachedUniqueName index="42" name="[user_behavior_dataset 1].[Number of Apps Installed].&amp;[54]"/>
            <x15:cachedUniqueName index="43" name="[user_behavior_dataset 1].[Number of Apps Installed].&amp;[55]"/>
            <x15:cachedUniqueName index="44" name="[user_behavior_dataset 1].[Number of Apps Installed].&amp;[56]"/>
            <x15:cachedUniqueName index="45" name="[user_behavior_dataset 1].[Number of Apps Installed].&amp;[57]"/>
            <x15:cachedUniqueName index="46" name="[user_behavior_dataset 1].[Number of Apps Installed].&amp;[58]"/>
            <x15:cachedUniqueName index="47" name="[user_behavior_dataset 1].[Number of Apps Installed].&amp;[59]"/>
            <x15:cachedUniqueName index="48" name="[user_behavior_dataset 1].[Number of Apps Installed].&amp;[61]"/>
            <x15:cachedUniqueName index="49" name="[user_behavior_dataset 1].[Number of Apps Installed].&amp;[62]"/>
            <x15:cachedUniqueName index="50" name="[user_behavior_dataset 1].[Number of Apps Installed].&amp;[63]"/>
            <x15:cachedUniqueName index="51" name="[user_behavior_dataset 1].[Number of Apps Installed].&amp;[64]"/>
            <x15:cachedUniqueName index="52" name="[user_behavior_dataset 1].[Number of Apps Installed].&amp;[65]"/>
            <x15:cachedUniqueName index="53" name="[user_behavior_dataset 1].[Number of Apps Installed].&amp;[66]"/>
            <x15:cachedUniqueName index="54" name="[user_behavior_dataset 1].[Number of Apps Installed].&amp;[67]"/>
            <x15:cachedUniqueName index="55" name="[user_behavior_dataset 1].[Number of Apps Installed].&amp;[68]"/>
            <x15:cachedUniqueName index="56" name="[user_behavior_dataset 1].[Number of Apps Installed].&amp;[69]"/>
            <x15:cachedUniqueName index="57" name="[user_behavior_dataset 1].[Number of Apps Installed].&amp;[70]"/>
            <x15:cachedUniqueName index="58" name="[user_behavior_dataset 1].[Number of Apps Installed].&amp;[71]"/>
            <x15:cachedUniqueName index="59" name="[user_behavior_dataset 1].[Number of Apps Installed].&amp;[72]"/>
            <x15:cachedUniqueName index="60" name="[user_behavior_dataset 1].[Number of Apps Installed].&amp;[73]"/>
            <x15:cachedUniqueName index="61" name="[user_behavior_dataset 1].[Number of Apps Installed].&amp;[74]"/>
            <x15:cachedUniqueName index="62" name="[user_behavior_dataset 1].[Number of Apps Installed].&amp;[75]"/>
            <x15:cachedUniqueName index="63" name="[user_behavior_dataset 1].[Number of Apps Installed].&amp;[76]"/>
            <x15:cachedUniqueName index="64" name="[user_behavior_dataset 1].[Number of Apps Installed].&amp;[77]"/>
            <x15:cachedUniqueName index="65" name="[user_behavior_dataset 1].[Number of Apps Installed].&amp;[78]"/>
            <x15:cachedUniqueName index="66" name="[user_behavior_dataset 1].[Number of Apps Installed].&amp;[79]"/>
            <x15:cachedUniqueName index="67" name="[user_behavior_dataset 1].[Number of Apps Installed].&amp;[81]"/>
            <x15:cachedUniqueName index="68" name="[user_behavior_dataset 1].[Number of Apps Installed].&amp;[82]"/>
            <x15:cachedUniqueName index="69" name="[user_behavior_dataset 1].[Number of Apps Installed].&amp;[83]"/>
            <x15:cachedUniqueName index="70" name="[user_behavior_dataset 1].[Number of Apps Installed].&amp;[84]"/>
            <x15:cachedUniqueName index="71" name="[user_behavior_dataset 1].[Number of Apps Installed].&amp;[85]"/>
            <x15:cachedUniqueName index="72" name="[user_behavior_dataset 1].[Number of Apps Installed].&amp;[86]"/>
            <x15:cachedUniqueName index="73" name="[user_behavior_dataset 1].[Number of Apps Installed].&amp;[87]"/>
            <x15:cachedUniqueName index="74" name="[user_behavior_dataset 1].[Number of Apps Installed].&amp;[88]"/>
            <x15:cachedUniqueName index="75" name="[user_behavior_dataset 1].[Number of Apps Installed].&amp;[89]"/>
            <x15:cachedUniqueName index="76" name="[user_behavior_dataset 1].[Number of Apps Installed].&amp;[90]"/>
            <x15:cachedUniqueName index="77" name="[user_behavior_dataset 1].[Number of Apps Installed].&amp;[91]"/>
            <x15:cachedUniqueName index="78" name="[user_behavior_dataset 1].[Number of Apps Installed].&amp;[92]"/>
            <x15:cachedUniqueName index="79" name="[user_behavior_dataset 1].[Number of Apps Installed].&amp;[93]"/>
            <x15:cachedUniqueName index="80" name="[user_behavior_dataset 1].[Number of Apps Installed].&amp;[94]"/>
            <x15:cachedUniqueName index="81" name="[user_behavior_dataset 1].[Number of Apps Installed].&amp;[95]"/>
            <x15:cachedUniqueName index="82" name="[user_behavior_dataset 1].[Number of Apps Installed].&amp;[96]"/>
            <x15:cachedUniqueName index="83" name="[user_behavior_dataset 1].[Number of Apps Installed].&amp;[97]"/>
            <x15:cachedUniqueName index="84" name="[user_behavior_dataset 1].[Number of Apps Installed].&amp;[98]"/>
            <x15:cachedUniqueName index="85" name="[user_behavior_dataset 1].[Number of Apps Installed].&amp;[99]"/>
          </x15:cachedUniqueNames>
        </ext>
      </extLst>
    </cacheField>
    <cacheField name="[Measures].[Sum of Screen On Time (hours/day)]" caption="Sum of Screen On Time (hours/day)" numFmtId="0" hierarchy="32"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2" memberValueDatatype="20" unbalanced="0">
      <fieldsUsage count="2">
        <fieldUsage x="-1"/>
        <fieldUsage x="0"/>
      </fieldsUsage>
    </cacheHierarchy>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847222" backgroundQuery="1" createdVersion="8" refreshedVersion="8" minRefreshableVersion="3" recordCount="0" supportSubquery="1" supportAdvancedDrill="1" xr:uid="{0C3D65E4-D6DF-40C6-943E-0E85C8E0924E}">
  <cacheSource type="external" connectionId="3"/>
  <cacheFields count="3">
    <cacheField name="[user_behavior_dataset 1].[User Behavior Class].[User Behavior Class]" caption="User Behavior Class" numFmtId="0" hierarchy="2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user_behavior_dataset 1].[User Behavior Class].&amp;[1]"/>
            <x15:cachedUniqueName index="1" name="[user_behavior_dataset 1].[User Behavior Class].&amp;[2]"/>
            <x15:cachedUniqueName index="2" name="[user_behavior_dataset 1].[User Behavior Class].&amp;[3]"/>
            <x15:cachedUniqueName index="3" name="[user_behavior_dataset 1].[User Behavior Class].&amp;[4]"/>
            <x15:cachedUniqueName index="4" name="[user_behavior_dataset 1].[User Behavior Class].&amp;[5]"/>
          </x15:cachedUniqueNames>
        </ext>
      </extLst>
    </cacheField>
    <cacheField name="[Measures].[Sum of User Behavior Class 2]" caption="Sum of User Behavior Class 2" numFmtId="0" hierarchy="49"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2" memberValueDatatype="20" unbalanced="0">
      <fieldsUsage count="2">
        <fieldUsage x="-1"/>
        <fieldUsage x="0"/>
      </fieldsUsage>
    </cacheHierarchy>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8935189" backgroundQuery="1" createdVersion="8" refreshedVersion="8" minRefreshableVersion="3" recordCount="0" supportSubquery="1" supportAdvancedDrill="1" xr:uid="{B735781F-0878-4F53-A8D3-09812B07EC06}">
  <cacheSource type="external" connectionId="3"/>
  <cacheFields count="3">
    <cacheField name="[user_behavior_dataset 1].[Gender].[Gender]" caption="Gender" numFmtId="0" hierarchy="14" level="1">
      <sharedItems count="2">
        <s v="Female"/>
        <s v="Male"/>
      </sharedItems>
    </cacheField>
    <cacheField name="[Measures].[Sum of Screen On Time (hours/day)]" caption="Sum of Screen On Time (hours/day)" numFmtId="0" hierarchy="32" level="32767"/>
    <cacheField name="[user_behavior_dataset 1].[User Behavior Class].[User Behavior Class]" caption="User Behavior Class" numFmtId="0" hierarchy="2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user_behavior_dataset 1].[User Behavior Class].&amp;[1]"/>
            <x15:cachedUniqueName index="1" name="[user_behavior_dataset 1].[User Behavior Class].&amp;[2]"/>
            <x15:cachedUniqueName index="2" name="[user_behavior_dataset 1].[User Behavior Class].&amp;[3]"/>
            <x15:cachedUniqueName index="3" name="[user_behavior_dataset 1].[User Behavior Class].&amp;[4]"/>
            <x15:cachedUniqueName index="4" name="[user_behavior_dataset 1].[User Behavior Class].&amp;[5]"/>
          </x15:cachedUniqueNames>
        </ext>
      </extLst>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0"/>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2" memberValueDatatype="20" unbalanced="0">
      <fieldsUsage count="2">
        <fieldUsage x="-1"/>
        <fieldUsage x="2"/>
      </fieldsUsage>
    </cacheHierarchy>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9282405" backgroundQuery="1" createdVersion="8" refreshedVersion="8" minRefreshableVersion="3" recordCount="0" supportSubquery="1" supportAdvancedDrill="1" xr:uid="{0E4B42E9-60BA-4F04-90E9-12544DD5B5CB}">
  <cacheSource type="external" connectionId="3"/>
  <cacheFields count="3">
    <cacheField name="[user_behavior_dataset].[Age Group].[Age Group]" caption="Age Group" numFmtId="0" hierarchy="11" level="1">
      <sharedItems count="9">
        <s v="18-20"/>
        <s v="20-25"/>
        <s v="25-30"/>
        <s v="30-35"/>
        <s v="35-40"/>
        <s v="40-45"/>
        <s v="45-50"/>
        <s v="50-55"/>
        <s v="55-60"/>
      </sharedItems>
    </cacheField>
    <cacheField name="[Measures].[Sum of Screen On Time (hours/day) 2]" caption="Sum of Screen On Time (hours/day) 2" numFmtId="0" hierarchy="42"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2" memberValueDatatype="130" unbalanced="0">
      <fieldsUsage count="2">
        <fieldUsage x="-1"/>
        <fieldUsage x="0"/>
      </fieldsUsage>
    </cacheHierarchy>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9513889" backgroundQuery="1" createdVersion="8" refreshedVersion="8" minRefreshableVersion="3" recordCount="0" supportSubquery="1" supportAdvancedDrill="1" xr:uid="{748F9435-BEE3-42AC-94E7-91B0A3C1A0AF}">
  <cacheSource type="external" connectionId="3"/>
  <cacheFields count="2">
    <cacheField name="[Measures].[Average of Number of Apps Installed]" caption="Average of Number of Apps Installed" numFmtId="0" hierarchy="54"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1"/>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29976851" backgroundQuery="1" createdVersion="8" refreshedVersion="8" minRefreshableVersion="3" recordCount="0" supportSubquery="1" supportAdvancedDrill="1" xr:uid="{C01D4838-5395-40BE-9DF9-77BFFEDA8F36}">
  <cacheSource type="external" connectionId="3"/>
  <cacheFields count="3">
    <cacheField name="[user_behavior_dataset 1].[Operating System].[Operating System]" caption="Operating System" numFmtId="0" hierarchy="16" level="1">
      <sharedItems count="2">
        <s v="Android"/>
        <s v="iOS"/>
      </sharedItems>
    </cacheField>
    <cacheField name="[Measures].[Count of Device Model]" caption="Count of Device Model" numFmtId="0" hierarchy="31"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2" memberValueDatatype="130" unbalanced="0">
      <fieldsUsage count="2">
        <fieldUsage x="-1"/>
        <fieldUsage x="0"/>
      </fieldsUsage>
    </cacheHierarchy>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0208336" backgroundQuery="1" createdVersion="8" refreshedVersion="8" minRefreshableVersion="3" recordCount="0" supportSubquery="1" supportAdvancedDrill="1" xr:uid="{D139388F-C672-4A5B-AD74-9C0426B4D665}">
  <cacheSource type="external" connectionId="3"/>
  <cacheFields count="3">
    <cacheField name="[Measures].[Average of Battery Drain per Hour]" caption="Average of Battery Drain per Hour" numFmtId="0" hierarchy="52" level="32767"/>
    <cacheField name="[user_behavior_dataset 1].[Device Model].[Device Model]" caption="Device Model" numFmtId="0" hierarchy="15" level="1">
      <sharedItems count="5">
        <s v="Google Pixel 5"/>
        <s v="iPhone 12"/>
        <s v="OnePlus 9"/>
        <s v="Samsung Galaxy S21"/>
        <s v="Xiaomi Mi 11"/>
      </sharedItems>
    </cacheField>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2" memberValueDatatype="130" unbalanced="0">
      <fieldsUsage count="2">
        <fieldUsage x="-1"/>
        <fieldUsage x="1"/>
      </fieldsUsage>
    </cacheHierarchy>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0324075" backgroundQuery="1" createdVersion="8" refreshedVersion="8" minRefreshableVersion="3" recordCount="0" supportSubquery="1" supportAdvancedDrill="1" xr:uid="{ACE8D6A4-5FD3-429D-8CAB-2377D8BC9D17}">
  <cacheSource type="external" connectionId="3"/>
  <cacheFields count="2">
    <cacheField name="[Measures].[Count of User ID]" caption="Count of User ID" numFmtId="0" hierarchy="34"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1"/>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0671298" backgroundQuery="1" createdVersion="8" refreshedVersion="8" minRefreshableVersion="3" recordCount="0" supportSubquery="1" supportAdvancedDrill="1" xr:uid="{F9822D7F-ECE0-4E43-AD6D-CBBDB37F2379}">
  <cacheSource type="external" connectionId="3"/>
  <cacheFields count="2">
    <cacheField name="[Measures].[Average of Age]" caption="Average of Age" numFmtId="0" hierarchy="36"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1"/>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1018521" backgroundQuery="1" createdVersion="8" refreshedVersion="8" minRefreshableVersion="3" recordCount="0" supportSubquery="1" supportAdvancedDrill="1" xr:uid="{38F7B326-5929-4002-9B7E-6CA0C98DE325}">
  <cacheSource type="external" connectionId="3"/>
  <cacheFields count="3">
    <cacheField name="[Measures].[Average of Age]" caption="Average of Age" numFmtId="0" hierarchy="36" level="32767"/>
    <cacheField name="[Measures].[Average of Screen On Time (hours/day)]" caption="Average of Screen On Time (hours/day)" numFmtId="0" hierarchy="37"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171296" backgroundQuery="1" createdVersion="8" refreshedVersion="8" minRefreshableVersion="3" recordCount="0" supportSubquery="1" supportAdvancedDrill="1" xr:uid="{43752D60-586F-4F81-976E-F4487BA1A222}">
  <cacheSource type="external" connectionId="3"/>
  <cacheFields count="3">
    <cacheField name="[user_behavior_dataset].[Age Group].[Age Group]" caption="Age Group" numFmtId="0" hierarchy="11" level="1">
      <sharedItems count="9">
        <s v="18-20"/>
        <s v="20-25"/>
        <s v="25-30"/>
        <s v="30-35"/>
        <s v="35-40"/>
        <s v="40-45"/>
        <s v="45-50"/>
        <s v="50-55"/>
        <s v="55-60"/>
      </sharedItems>
    </cacheField>
    <cacheField name="[Measures].[Sum of Data Usage (MB/day) 2]" caption="Sum of Data Usage (MB/day) 2" numFmtId="0" hierarchy="43" level="32767"/>
    <cacheField name="[user_behavior_dataset 1].[Gender].[Gender]" caption="Gender" numFmtId="0" hierarchy="14" level="1">
      <sharedItems containsSemiMixedTypes="0" containsNonDate="0" containsString="0"/>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2" memberValueDatatype="130" unbalanced="0">
      <fieldsUsage count="2">
        <fieldUsage x="-1"/>
        <fieldUsage x="0"/>
      </fieldsUsage>
    </cacheHierarchy>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2"/>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97132060184" backgroundQuery="1" createdVersion="8" refreshedVersion="8" minRefreshableVersion="3" recordCount="0" supportSubquery="1" supportAdvancedDrill="1" xr:uid="{6E4794A5-1C64-444C-9CE5-00DECB0A2437}">
  <cacheSource type="external" connectionId="3"/>
  <cacheFields count="2">
    <cacheField name="[Measures].[Sum of Screen On Time (hours/day)]" caption="Sum of Screen On Time (hours/day)" numFmtId="0" hierarchy="32" level="32767"/>
    <cacheField name="[user_behavior_dataset 1].[Gender].[Gender]" caption="Gender" numFmtId="0" hierarchy="14" level="1">
      <sharedItems count="2">
        <s v="Female"/>
        <s v="Male"/>
      </sharedItems>
    </cacheField>
  </cacheFields>
  <cacheHierarchies count="55">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fieldsUsage count="2">
        <fieldUsage x="-1"/>
        <fieldUsage x="1"/>
      </fieldsUsage>
    </cacheHierarchy>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Sum of Number of Apps Installed 2]" caption="Sum of Number of Apps Installed 2" measure="1" displayFolder="" measureGroup="user_behavior_dataset 1" count="0" hidden="1">
      <extLst>
        <ext xmlns:x15="http://schemas.microsoft.com/office/spreadsheetml/2010/11/main" uri="{B97F6D7D-B522-45F9-BDA1-12C45D357490}">
          <x15:cacheHierarchy aggregatedColumn="20"/>
        </ext>
      </extLst>
    </cacheHierarchy>
    <cacheHierarchy uniqueName="[Measures].[Average of Number of Apps Installed]" caption="Average of Number of Apps Installed" measure="1" displayFolder="" measureGroup="user_behavior_dataset 1"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user_behavior_dataset" uniqueName="[user_behavior_dataset]" caption="user_behavior_dataset"/>
    <dimension name="user_behavior_dataset 1" uniqueName="[user_behavior_dataset 1]" caption="user_behavior_dataset 1"/>
  </dimensions>
  <measureGroups count="2">
    <measureGroup name="user_behavior_dataset" caption="user_behavior_dataset"/>
    <measureGroup name="user_behavior_dataset 1" caption="user_behavior_dataset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 Shukla" refreshedDate="46057.962906365741" backgroundQuery="1" createdVersion="3" refreshedVersion="8" minRefreshableVersion="3" recordCount="0" supportSubquery="1" supportAdvancedDrill="1" xr:uid="{73EF79C9-E707-4EB5-AE8B-D28FB23975C7}">
  <cacheSource type="external" connectionId="3">
    <extLst>
      <ext xmlns:x14="http://schemas.microsoft.com/office/spreadsheetml/2009/9/main" uri="{F057638F-6D5F-4e77-A914-E7F072B9BCA8}">
        <x14:sourceConnection name="ThisWorkbookDataModel"/>
      </ext>
    </extLst>
  </cacheSource>
  <cacheFields count="0"/>
  <cacheHierarchies count="53">
    <cacheHierarchy uniqueName="[user_behavior_dataset].[User ID]" caption="User ID" attribute="1" defaultMemberUniqueName="[user_behavior_dataset].[User ID].[All]" allUniqueName="[user_behavior_dataset].[User ID].[All]" dimensionUniqueName="[user_behavior_dataset]" displayFolder="" count="0" memberValueDatatype="20" unbalanced="0"/>
    <cacheHierarchy uniqueName="[user_behavior_dataset].[Age]" caption="Age" attribute="1" defaultMemberUniqueName="[user_behavior_dataset].[Age].[All]" allUniqueName="[user_behavior_dataset].[Age].[All]" dimensionUniqueName="[user_behavior_dataset]" displayFolder="" count="0" memberValueDatatype="20" unbalanced="0"/>
    <cacheHierarchy uniqueName="[user_behavior_dataset].[Gender]" caption="Gender" attribute="1" defaultMemberUniqueName="[user_behavior_dataset].[Gender].[All]" allUniqueName="[user_behavior_dataset].[Gender].[All]" dimensionUniqueName="[user_behavior_dataset]" displayFolder="" count="0" memberValueDatatype="130" unbalanced="0"/>
    <cacheHierarchy uniqueName="[user_behavior_dataset].[Device Model]" caption="Device Model" attribute="1" defaultMemberUniqueName="[user_behavior_dataset].[Device Model].[All]" allUniqueName="[user_behavior_dataset].[Device Model].[All]" dimensionUniqueName="[user_behavior_dataset]" displayFolder="" count="0" memberValueDatatype="130" unbalanced="0"/>
    <cacheHierarchy uniqueName="[user_behavior_dataset].[Operating System]" caption="Operating System" attribute="1" defaultMemberUniqueName="[user_behavior_dataset].[Operating System].[All]" allUniqueName="[user_behavior_dataset].[Operating System].[All]" dimensionUniqueName="[user_behavior_dataset]" displayFolder="" count="0" memberValueDatatype="130" unbalanced="0"/>
    <cacheHierarchy uniqueName="[user_behavior_dataset].[App Usage Time (min/day)]" caption="App Usage Time (min/day)" attribute="1" defaultMemberUniqueName="[user_behavior_dataset].[App Usage Time (min/day)].[All]" allUniqueName="[user_behavior_dataset].[App Usage Time (min/day)].[All]" dimensionUniqueName="[user_behavior_dataset]" displayFolder="" count="0" memberValueDatatype="20" unbalanced="0"/>
    <cacheHierarchy uniqueName="[user_behavior_dataset].[Screen On Time (hours/day)]" caption="Screen On Time (hours/day)" attribute="1" defaultMemberUniqueName="[user_behavior_dataset].[Screen On Time (hours/day)].[All]" allUniqueName="[user_behavior_dataset].[Screen On Time (hours/day)].[All]" dimensionUniqueName="[user_behavior_dataset]" displayFolder="" count="0" memberValueDatatype="5" unbalanced="0"/>
    <cacheHierarchy uniqueName="[user_behavior_dataset].[Battery Drain (mAh/day)]" caption="Battery Drain (mAh/day)" attribute="1" defaultMemberUniqueName="[user_behavior_dataset].[Battery Drain (mAh/day)].[All]" allUniqueName="[user_behavior_dataset].[Battery Drain (mAh/day)].[All]" dimensionUniqueName="[user_behavior_dataset]" displayFolder="" count="0" memberValueDatatype="20" unbalanced="0"/>
    <cacheHierarchy uniqueName="[user_behavior_dataset].[Number of Apps Installed]" caption="Number of Apps Installed" attribute="1" defaultMemberUniqueName="[user_behavior_dataset].[Number of Apps Installed].[All]" allUniqueName="[user_behavior_dataset].[Number of Apps Installed].[All]" dimensionUniqueName="[user_behavior_dataset]" displayFolder="" count="0" memberValueDatatype="20" unbalanced="0"/>
    <cacheHierarchy uniqueName="[user_behavior_dataset].[Data Usage (MB/day)]" caption="Data Usage (MB/day)" attribute="1" defaultMemberUniqueName="[user_behavior_dataset].[Data Usage (MB/day)].[All]" allUniqueName="[user_behavior_dataset].[Data Usage (MB/day)].[All]" dimensionUniqueName="[user_behavior_dataset]" displayFolder="" count="0" memberValueDatatype="20" unbalanced="0"/>
    <cacheHierarchy uniqueName="[user_behavior_dataset].[User Behavior Class]" caption="User Behavior Class" attribute="1" defaultMemberUniqueName="[user_behavior_dataset].[User Behavior Class].[All]" allUniqueName="[user_behavior_dataset].[User Behavior Class].[All]" dimensionUniqueName="[user_behavior_dataset]" displayFolder="" count="0" memberValueDatatype="20" unbalanced="0"/>
    <cacheHierarchy uniqueName="[user_behavior_dataset].[Age Group]" caption="Age Group" attribute="1" defaultMemberUniqueName="[user_behavior_dataset].[Age Group].[All]" allUniqueName="[user_behavior_dataset].[Age Group].[All]" dimensionUniqueName="[user_behavior_dataset]" displayFolder="" count="0" memberValueDatatype="130" unbalanced="0"/>
    <cacheHierarchy uniqueName="[user_behavior_dataset 1].[User ID]" caption="User ID" attribute="1" defaultMemberUniqueName="[user_behavior_dataset 1].[User ID].[All]" allUniqueName="[user_behavior_dataset 1].[User ID].[All]" dimensionUniqueName="[user_behavior_dataset 1]" displayFolder="" count="0" memberValueDatatype="20" unbalanced="0"/>
    <cacheHierarchy uniqueName="[user_behavior_dataset 1].[Age]" caption="Age" attribute="1" defaultMemberUniqueName="[user_behavior_dataset 1].[Age].[All]" allUniqueName="[user_behavior_dataset 1].[Age].[All]" dimensionUniqueName="[user_behavior_dataset 1]" displayFolder="" count="0" memberValueDatatype="20" unbalanced="0"/>
    <cacheHierarchy uniqueName="[user_behavior_dataset 1].[Gender]" caption="Gender" attribute="1" defaultMemberUniqueName="[user_behavior_dataset 1].[Gender].[All]" allUniqueName="[user_behavior_dataset 1].[Gender].[All]" dimensionUniqueName="[user_behavior_dataset 1]" displayFolder="" count="2" memberValueDatatype="130" unbalanced="0"/>
    <cacheHierarchy uniqueName="[user_behavior_dataset 1].[Device Model]" caption="Device Model" attribute="1" defaultMemberUniqueName="[user_behavior_dataset 1].[Device Model].[All]" allUniqueName="[user_behavior_dataset 1].[Device Model].[All]" dimensionUniqueName="[user_behavior_dataset 1]" displayFolder="" count="0" memberValueDatatype="130" unbalanced="0"/>
    <cacheHierarchy uniqueName="[user_behavior_dataset 1].[Operating System]" caption="Operating System" attribute="1" defaultMemberUniqueName="[user_behavior_dataset 1].[Operating System].[All]" allUniqueName="[user_behavior_dataset 1].[Operating System].[All]" dimensionUniqueName="[user_behavior_dataset 1]" displayFolder="" count="0" memberValueDatatype="130" unbalanced="0"/>
    <cacheHierarchy uniqueName="[user_behavior_dataset 1].[App Usage Time (min/day)]" caption="App Usage Time (min/day)" attribute="1" defaultMemberUniqueName="[user_behavior_dataset 1].[App Usage Time (min/day)].[All]" allUniqueName="[user_behavior_dataset 1].[App Usage Time (min/day)].[All]" dimensionUniqueName="[user_behavior_dataset 1]" displayFolder="" count="0" memberValueDatatype="20" unbalanced="0"/>
    <cacheHierarchy uniqueName="[user_behavior_dataset 1].[Screen On Time (hours/day)]" caption="Screen On Time (hours/day)" attribute="1" defaultMemberUniqueName="[user_behavior_dataset 1].[Screen On Time (hours/day)].[All]" allUniqueName="[user_behavior_dataset 1].[Screen On Time (hours/day)].[All]" dimensionUniqueName="[user_behavior_dataset 1]" displayFolder="" count="0" memberValueDatatype="5" unbalanced="0"/>
    <cacheHierarchy uniqueName="[user_behavior_dataset 1].[Battery Drain (mAh/day)]" caption="Battery Drain (mAh/day)" attribute="1" defaultMemberUniqueName="[user_behavior_dataset 1].[Battery Drain (mAh/day)].[All]" allUniqueName="[user_behavior_dataset 1].[Battery Drain (mAh/day)].[All]" dimensionUniqueName="[user_behavior_dataset 1]" displayFolder="" count="0" memberValueDatatype="20" unbalanced="0"/>
    <cacheHierarchy uniqueName="[user_behavior_dataset 1].[Number of Apps Installed]" caption="Number of Apps Installed" attribute="1" defaultMemberUniqueName="[user_behavior_dataset 1].[Number of Apps Installed].[All]" allUniqueName="[user_behavior_dataset 1].[Number of Apps Installed].[All]" dimensionUniqueName="[user_behavior_dataset 1]" displayFolder="" count="0" memberValueDatatype="20" unbalanced="0"/>
    <cacheHierarchy uniqueName="[user_behavior_dataset 1].[Data Usage (MB/day)]" caption="Data Usage (MB/day)" attribute="1" defaultMemberUniqueName="[user_behavior_dataset 1].[Data Usage (MB/day)].[All]" allUniqueName="[user_behavior_dataset 1].[Data Usage (MB/day)].[All]" dimensionUniqueName="[user_behavior_dataset 1]" displayFolder="" count="0" memberValueDatatype="20" unbalanced="0"/>
    <cacheHierarchy uniqueName="[user_behavior_dataset 1].[User Behavior Class]" caption="User Behavior Class" attribute="1" defaultMemberUniqueName="[user_behavior_dataset 1].[User Behavior Class].[All]" allUniqueName="[user_behavior_dataset 1].[User Behavior Class].[All]" dimensionUniqueName="[user_behavior_dataset 1]" displayFolder="" count="0" memberValueDatatype="20" unbalanced="0"/>
    <cacheHierarchy uniqueName="[user_behavior_dataset 1].[Battery Drain per Hour]" caption="Battery Drain per Hour" attribute="1" defaultMemberUniqueName="[user_behavior_dataset 1].[Battery Drain per Hour].[All]" allUniqueName="[user_behavior_dataset 1].[Battery Drain per Hour].[All]" dimensionUniqueName="[user_behavior_dataset 1]" displayFolder="" count="0" memberValueDatatype="5" unbalanced="0"/>
    <cacheHierarchy uniqueName="[user_behavior_dataset 1].[Avg Usage per App]" caption="Avg Usage per App" attribute="1" defaultMemberUniqueName="[user_behavior_dataset 1].[Avg Usage per App].[All]" allUniqueName="[user_behavior_dataset 1].[Avg Usage per App].[All]" dimensionUniqueName="[user_behavior_dataset 1]" displayFolder="" count="0" memberValueDatatype="5" unbalanced="0"/>
    <cacheHierarchy uniqueName="[Measures].[Avg Usage per appp]" caption="Avg Usage per appp" measure="1" displayFolder="" measureGroup="user_behavior_dataset 1" count="0"/>
    <cacheHierarchy uniqueName="[Measures].[__XL_Count user_behavior_dataset]" caption="__XL_Count user_behavior_dataset" measure="1" displayFolder="" measureGroup="user_behavior_dataset" count="0" hidden="1"/>
    <cacheHierarchy uniqueName="[Measures].[__XL_Count user_behavior_dataset 1]" caption="__XL_Count user_behavior_dataset 1" measure="1" displayFolder="" measureGroup="user_behavior_dataset 1" count="0" hidden="1"/>
    <cacheHierarchy uniqueName="[Measures].[__No measures defined]" caption="__No measures defined" measure="1" displayFolder="" count="0" hidden="1"/>
    <cacheHierarchy uniqueName="[Measures].[Count of Gender]" caption="Count of Gender" measure="1" displayFolder="" measureGroup="user_behavior_dataset 1" count="0" hidden="1">
      <extLst>
        <ext xmlns:x15="http://schemas.microsoft.com/office/spreadsheetml/2010/11/main" uri="{B97F6D7D-B522-45F9-BDA1-12C45D357490}">
          <x15:cacheHierarchy aggregatedColumn="14"/>
        </ext>
      </extLst>
    </cacheHierarchy>
    <cacheHierarchy uniqueName="[Measures].[Count of Operating System]" caption="Count of Operating System" measure="1" displayFolder="" measureGroup="user_behavior_dataset 1" count="0" hidden="1">
      <extLst>
        <ext xmlns:x15="http://schemas.microsoft.com/office/spreadsheetml/2010/11/main" uri="{B97F6D7D-B522-45F9-BDA1-12C45D357490}">
          <x15:cacheHierarchy aggregatedColumn="16"/>
        </ext>
      </extLst>
    </cacheHierarchy>
    <cacheHierarchy uniqueName="[Measures].[Count of Device Model]" caption="Count of Device Model" measure="1" displayFolder="" measureGroup="user_behavior_dataset 1" count="0" hidden="1">
      <extLst>
        <ext xmlns:x15="http://schemas.microsoft.com/office/spreadsheetml/2010/11/main" uri="{B97F6D7D-B522-45F9-BDA1-12C45D357490}">
          <x15:cacheHierarchy aggregatedColumn="15"/>
        </ext>
      </extLst>
    </cacheHierarchy>
    <cacheHierarchy uniqueName="[Measures].[Sum of Screen On Time (hours/day)]" caption="Sum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User ID]" caption="Sum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Count of User ID]" caption="Count of User ID" measure="1" displayFolder="" measureGroup="user_behavior_dataset 1"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Age]" caption="Average of Age" measure="1" displayFolder="" measureGroup="user_behavior_dataset 1" count="0" hidden="1">
      <extLst>
        <ext xmlns:x15="http://schemas.microsoft.com/office/spreadsheetml/2010/11/main" uri="{B97F6D7D-B522-45F9-BDA1-12C45D357490}">
          <x15:cacheHierarchy aggregatedColumn="13"/>
        </ext>
      </extLst>
    </cacheHierarchy>
    <cacheHierarchy uniqueName="[Measures].[Average of Screen On Time (hours/day)]" caption="Average of Screen On Time (hours/day)" measure="1" displayFolder="" measureGroup="user_behavior_dataset 1" count="0" hidden="1">
      <extLst>
        <ext xmlns:x15="http://schemas.microsoft.com/office/spreadsheetml/2010/11/main" uri="{B97F6D7D-B522-45F9-BDA1-12C45D357490}">
          <x15:cacheHierarchy aggregatedColumn="18"/>
        </ext>
      </extLst>
    </cacheHierarchy>
    <cacheHierarchy uniqueName="[Measures].[Sum of Data Usage (MB/day)]" caption="Sum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Average of Data Usage (MB/day)]" caption="Average of Data Usage (MB/day)" measure="1" displayFolder="" measureGroup="user_behavior_dataset 1" count="0" hidden="1">
      <extLst>
        <ext xmlns:x15="http://schemas.microsoft.com/office/spreadsheetml/2010/11/main" uri="{B97F6D7D-B522-45F9-BDA1-12C45D357490}">
          <x15:cacheHierarchy aggregatedColumn="21"/>
        </ext>
      </extLst>
    </cacheHierarchy>
    <cacheHierarchy uniqueName="[Measures].[Sum of App Usage Time (min/day)]" caption="Sum of App Usage Time (min/day)" measure="1" displayFolder="" measureGroup="user_behavior_dataset 1" count="0" hidden="1">
      <extLst>
        <ext xmlns:x15="http://schemas.microsoft.com/office/spreadsheetml/2010/11/main" uri="{B97F6D7D-B522-45F9-BDA1-12C45D357490}">
          <x15:cacheHierarchy aggregatedColumn="17"/>
        </ext>
      </extLst>
    </cacheHierarchy>
    <cacheHierarchy uniqueName="[Measures].[Sum of App Usage Time (min/day) 2]" caption="Sum of App Usage Time (min/day) 2" measure="1" displayFolder="" measureGroup="user_behavior_dataset" count="0" hidden="1">
      <extLst>
        <ext xmlns:x15="http://schemas.microsoft.com/office/spreadsheetml/2010/11/main" uri="{B97F6D7D-B522-45F9-BDA1-12C45D357490}">
          <x15:cacheHierarchy aggregatedColumn="5"/>
        </ext>
      </extLst>
    </cacheHierarchy>
    <cacheHierarchy uniqueName="[Measures].[Sum of Screen On Time (hours/day) 2]" caption="Sum of Screen On Time (hours/day) 2" measure="1" displayFolder="" measureGroup="user_behavior_dataset" count="0" hidden="1">
      <extLst>
        <ext xmlns:x15="http://schemas.microsoft.com/office/spreadsheetml/2010/11/main" uri="{B97F6D7D-B522-45F9-BDA1-12C45D357490}">
          <x15:cacheHierarchy aggregatedColumn="6"/>
        </ext>
      </extLst>
    </cacheHierarchy>
    <cacheHierarchy uniqueName="[Measures].[Sum of Data Usage (MB/day) 2]" caption="Sum of Data Usage (MB/day) 2" measure="1" displayFolder="" measureGroup="user_behavior_dataset" count="0" hidden="1">
      <extLst>
        <ext xmlns:x15="http://schemas.microsoft.com/office/spreadsheetml/2010/11/main" uri="{B97F6D7D-B522-45F9-BDA1-12C45D357490}">
          <x15:cacheHierarchy aggregatedColumn="9"/>
        </ext>
      </extLst>
    </cacheHierarchy>
    <cacheHierarchy uniqueName="[Measures].[Count of Device Model 2]" caption="Count of Device Model 2" measure="1" displayFolder="" measureGroup="user_behavior_dataset" count="0" hidden="1">
      <extLst>
        <ext xmlns:x15="http://schemas.microsoft.com/office/spreadsheetml/2010/11/main" uri="{B97F6D7D-B522-45F9-BDA1-12C45D357490}">
          <x15:cacheHierarchy aggregatedColumn="3"/>
        </ext>
      </extLst>
    </cacheHierarchy>
    <cacheHierarchy uniqueName="[Measures].[Sum of User Behavior Class]" caption="Sum of User Behavior Class" measure="1" displayFolder="" measureGroup="user_behavior_dataset" count="0" hidden="1">
      <extLst>
        <ext xmlns:x15="http://schemas.microsoft.com/office/spreadsheetml/2010/11/main" uri="{B97F6D7D-B522-45F9-BDA1-12C45D357490}">
          <x15:cacheHierarchy aggregatedColumn="10"/>
        </ext>
      </extLst>
    </cacheHierarchy>
    <cacheHierarchy uniqueName="[Measures].[Sum of Number of Apps Installed]" caption="Sum of Number of Apps Installed" measure="1" displayFolder="" measureGroup="user_behavior_dataset"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user_behavior_dataset" count="0" hidden="1">
      <extLst>
        <ext xmlns:x15="http://schemas.microsoft.com/office/spreadsheetml/2010/11/main" uri="{B97F6D7D-B522-45F9-BDA1-12C45D357490}">
          <x15:cacheHierarchy aggregatedColumn="11"/>
        </ext>
      </extLst>
    </cacheHierarchy>
    <cacheHierarchy uniqueName="[Measures].[Sum of Battery Drain (mAh/day)]" caption="Sum of Battery Drain (mAh/day)" measure="1" displayFolder="" measureGroup="user_behavior_dataset 1" count="0" hidden="1">
      <extLst>
        <ext xmlns:x15="http://schemas.microsoft.com/office/spreadsheetml/2010/11/main" uri="{B97F6D7D-B522-45F9-BDA1-12C45D357490}">
          <x15:cacheHierarchy aggregatedColumn="19"/>
        </ext>
      </extLst>
    </cacheHierarchy>
    <cacheHierarchy uniqueName="[Measures].[Sum of User Behavior Class 2]" caption="Sum of User Behavior Class 2" measure="1" displayFolder="" measureGroup="user_behavior_dataset 1" count="0" hidden="1">
      <extLst>
        <ext xmlns:x15="http://schemas.microsoft.com/office/spreadsheetml/2010/11/main" uri="{B97F6D7D-B522-45F9-BDA1-12C45D357490}">
          <x15:cacheHierarchy aggregatedColumn="22"/>
        </ext>
      </extLst>
    </cacheHierarchy>
    <cacheHierarchy uniqueName="[Measures].[Sum of Avg Usage per App]" caption="Sum of Avg Usage per App" measure="1" displayFolder="" measureGroup="user_behavior_dataset 1" count="0" hidden="1">
      <extLst>
        <ext xmlns:x15="http://schemas.microsoft.com/office/spreadsheetml/2010/11/main" uri="{B97F6D7D-B522-45F9-BDA1-12C45D357490}">
          <x15:cacheHierarchy aggregatedColumn="24"/>
        </ext>
      </extLst>
    </cacheHierarchy>
    <cacheHierarchy uniqueName="[Measures].[Sum of Battery Drain per Hour]" caption="Sum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y uniqueName="[Measures].[Average of Battery Drain per Hour]" caption="Average of Battery Drain per Hour" measure="1" displayFolder="" measureGroup="user_behavior_dataset 1"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8542810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0E7BF-6EFB-4619-9003-B1B974384D74}" name="PivotTable20" cacheId="1939" applyNumberFormats="0" applyBorderFormats="0" applyFontFormats="0" applyPatternFormats="0" applyAlignmentFormats="0" applyWidthHeightFormats="1" dataCaption="Values" tag="fcc0b286-0f2b-4bbe-ac8c-f38dda5d224f" updatedVersion="8" minRefreshableVersion="3" useAutoFormatting="1" subtotalHiddenItems="1" colGrandTotals="0" itemPrintTitles="1" createdVersion="8" indent="0" outline="1" outlineData="1" multipleFieldFilters="0" chartFormat="9">
  <location ref="E8:F1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Battery Drain per Hour" fld="0" subtotal="average" baseField="0" baseItem="0"/>
  </dataFields>
  <chartFormats count="1">
    <chartFormat chart="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g Usage per app(min)"/>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ttery Drain per Hour"/>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46E58-3728-485F-A549-497F8BB0FEF1}" name="PivotTable19" cacheId="1933" applyNumberFormats="0" applyBorderFormats="0" applyFontFormats="0" applyPatternFormats="0" applyAlignmentFormats="0" applyWidthHeightFormats="1" dataCaption="Values" tag="e56b7a3c-7e4c-4d3a-9108-d405b8856357" updatedVersion="8" minRefreshableVersion="3" useAutoFormatting="1" subtotalHiddenItems="1" colGrandTotals="0" itemPrintTitles="1" createdVersion="8" indent="0" outline="1" outlineData="1" multipleFieldFilters="0" chartFormat="6">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umber of Apps Installed" fld="0" subtotal="average" baseField="0" baseItem="0" numFmtId="1"/>
  </dataFields>
  <formats count="1">
    <format dxfId="45">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vg Usage per app(min)"/>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umber of Apps Install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28118-E7D9-414E-B299-0E74F00C36F8}" name="PivotTable17" cacheId="1930" applyNumberFormats="0" applyBorderFormats="0" applyFontFormats="0" applyPatternFormats="0" applyAlignmentFormats="0" applyWidthHeightFormats="1" dataCaption="Values" tag="65d6ee7b-640f-47f2-ab27-a942415873f5" updatedVersion="8" minRefreshableVersion="3" useAutoFormatting="1" colGrandTotals="0" itemPrintTitles="1" createdVersion="8" indent="0" outline="1" outlineData="1" multipleFieldFilters="0" chartFormat="8">
  <location ref="G31:H4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creen On Time (hours/day)"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F06C74-B511-454B-AFF4-1FE0A33B6F72}" name="PivotTable16" cacheId="1927" applyNumberFormats="0" applyBorderFormats="0" applyFontFormats="0" applyPatternFormats="0" applyAlignmentFormats="0" applyWidthHeightFormats="1" dataCaption="Values" tag="1348623d-40ea-47a1-b140-3014738ba900" updatedVersion="8" minRefreshableVersion="3" useAutoFormatting="1" subtotalHiddenItems="1" colGrandTotals="0" itemPrintTitles="1" createdVersion="8" indent="0" outline="1" outlineData="1" multipleFieldFilters="0" chartFormat="15">
  <location ref="O4:T8"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3">
    <i>
      <x/>
    </i>
    <i>
      <x v="1"/>
    </i>
    <i t="grand">
      <x/>
    </i>
  </rowItems>
  <colFields count="1">
    <field x="2"/>
  </colFields>
  <colItems count="5">
    <i>
      <x/>
    </i>
    <i>
      <x v="1"/>
    </i>
    <i>
      <x v="2"/>
    </i>
    <i>
      <x v="3"/>
    </i>
    <i>
      <x v="4"/>
    </i>
  </colItems>
  <dataFields count="1">
    <dataField name="Sum of Screen On Time (hours/day)" fld="1" baseField="0" baseItem="0"/>
  </dataFields>
  <chartFormats count="5">
    <chartFormat chart="11" format="20" series="1">
      <pivotArea type="data" outline="0" fieldPosition="0">
        <references count="1">
          <reference field="4294967294" count="1" selected="0">
            <x v="0"/>
          </reference>
        </references>
      </pivotArea>
    </chartFormat>
    <chartFormat chart="11" format="106" series="1">
      <pivotArea type="data" outline="0" fieldPosition="0">
        <references count="2">
          <reference field="4294967294" count="1" selected="0">
            <x v="0"/>
          </reference>
          <reference field="2" count="1" selected="0">
            <x v="1"/>
          </reference>
        </references>
      </pivotArea>
    </chartFormat>
    <chartFormat chart="11" format="107" series="1">
      <pivotArea type="data" outline="0" fieldPosition="0">
        <references count="2">
          <reference field="4294967294" count="1" selected="0">
            <x v="0"/>
          </reference>
          <reference field="2" count="1" selected="0">
            <x v="2"/>
          </reference>
        </references>
      </pivotArea>
    </chartFormat>
    <chartFormat chart="11" format="108" series="1">
      <pivotArea type="data" outline="0" fieldPosition="0">
        <references count="2">
          <reference field="4294967294" count="1" selected="0">
            <x v="0"/>
          </reference>
          <reference field="2" count="1" selected="0">
            <x v="3"/>
          </reference>
        </references>
      </pivotArea>
    </chartFormat>
    <chartFormat chart="11" format="109" series="1">
      <pivotArea type="data" outline="0" fieldPosition="0">
        <references count="2">
          <reference field="4294967294" count="1" selected="0">
            <x v="0"/>
          </reference>
          <reference field="2" count="1" selected="0">
            <x v="4"/>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077A28-6E61-4BEE-ABD9-5000C29C403C}" name="PivotTable15" cacheId="1924" applyNumberFormats="0" applyBorderFormats="0" applyFontFormats="0" applyPatternFormats="0" applyAlignmentFormats="0" applyWidthHeightFormats="1" dataCaption="Values" tag="af03fe4c-8cf0-4363-a8dd-573f16aab828" updatedVersion="8" minRefreshableVersion="3" useAutoFormatting="1" subtotalHiddenItems="1" colGrandTotals="0" itemPrintTitles="1" createdVersion="8" indent="0" outline="1" outlineData="1" multipleFieldFilters="0" chartFormat="10">
  <location ref="M4:N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User Behavior Class"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999348-F5AD-41C0-BB0D-9902E00D9242}" name="PivotTable14" cacheId="1921" applyNumberFormats="0" applyBorderFormats="0" applyFontFormats="0" applyPatternFormats="0" applyAlignmentFormats="0" applyWidthHeightFormats="1" dataCaption="Values" tag="3e115bc6-a76f-400d-a983-2ac662be93e8" updatedVersion="8" minRefreshableVersion="3" useAutoFormatting="1" colGrandTotals="0" itemPrintTitles="1" createdVersion="8" indent="0" outline="1" outlineData="1" multipleFieldFilters="0" chartFormat="7">
  <location ref="K23:L110" firstHeaderRow="1" firstDataRow="1" firstDataCol="1"/>
  <pivotFields count="3">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allDrilled="1" subtotalTop="0" showAll="0" dataSourceSort="1" defaultSubtotal="0" defaultAttributeDrillState="1"/>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Sum of Screen On Time (hours/day)"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37C94E-BA1D-45A7-B17F-42A3D5BBB07D}" name="PivotTable12" cacheId="1918" applyNumberFormats="0" applyBorderFormats="0" applyFontFormats="0" applyPatternFormats="0" applyAlignmentFormats="0" applyWidthHeightFormats="1" dataCaption="Values" tag="9ad79348-efb9-48d2-9f23-f59dbdda1459" updatedVersion="8" minRefreshableVersion="3" useAutoFormatting="1" colGrandTotals="0" itemPrintTitles="1" createdVersion="8" indent="0" outline="1" outlineData="1" multipleFieldFilters="0" chartFormat="7">
  <location ref="K17:L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creen On Time (hours/day)"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792CA3-4BC0-4DDC-8CA2-DC7CCCA00C63}" name="PivotTable10" cacheId="1912" applyNumberFormats="0" applyBorderFormats="0" applyFontFormats="0" applyPatternFormats="0" applyAlignmentFormats="0" applyWidthHeightFormats="1" dataCaption="Values" tag="b795b41a-d801-465c-b1c0-eb4e2e88d23c" updatedVersion="8" minRefreshableVersion="3" useAutoFormatting="1" colGrandTotals="0" itemPrintTitles="1" createdVersion="8" indent="0" outline="1" outlineData="1" multipleFieldFilters="0" chartFormat="10">
  <location ref="I4:J14"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Age Group"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B15E6C-3305-449E-AAC3-D8B561ED1C08}" name="PivotTable9" cacheId="1951" applyNumberFormats="0" applyBorderFormats="0" applyFontFormats="0" applyPatternFormats="0" applyAlignmentFormats="0" applyWidthHeightFormats="1" dataCaption="Values" tag="a66e5423-8c3e-4864-9dcf-976397deae12" updatedVersion="8" minRefreshableVersion="3" useAutoFormatting="1" colGrandTotals="0" itemPrintTitles="1" createdVersion="8" indent="0" outline="1" outlineData="1" multipleFieldFilters="0" chartFormat="7">
  <location ref="I17:J27"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Data Usage (MB/day)"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B5D472-6A00-417C-BC92-62F19DB2DE3A}" name="PivotTable1" cacheId="1909" applyNumberFormats="0" applyBorderFormats="0" applyFontFormats="0" applyPatternFormats="0" applyAlignmentFormats="0" applyWidthHeightFormats="1" dataCaption="Values" tag="e98baaa1-8152-4a1a-bcbf-ffe5b5235e32" updatedVersion="8" minRefreshableVersion="3" useAutoFormatting="1" colGrandTotals="0" itemPrintTitles="1" createdVersion="8" indent="0" outline="1" outlineData="1" multipleFieldFilters="0" chartFormat="7">
  <location ref="B5:C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User ID" fld="1" subtotal="count" baseField="0" baseItem="0"/>
  </dataFields>
  <chartFormats count="1">
    <chartFormat chart="6" format="7"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Us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FA2362-FB8D-4271-BEBB-5998B0F55E72}" name="PivotTable5" cacheId="1945"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C19:C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1"/>
  </dataFields>
  <formats count="1">
    <format dxfId="49">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User ID"/>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BF4187-B6BC-4DD1-95C2-D09107F1C7AD}" name="PivotTable4" cacheId="194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B19:B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User 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Us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A5F69F-3D2B-4686-BB57-346E4FA2C0FA}" name="PivotTable11" cacheId="1915" applyNumberFormats="0" applyBorderFormats="0" applyFontFormats="0" applyPatternFormats="0" applyAlignmentFormats="0" applyWidthHeightFormats="1" dataCaption="Values" tag="8caa46bf-a8be-4882-bb6a-c0b9a8754b13" updatedVersion="8" minRefreshableVersion="3" useAutoFormatting="1" colGrandTotals="0" itemPrintTitles="1" createdVersion="8" indent="0" outline="1" outlineData="1" multipleFieldFilters="0" chartFormat="5">
  <location ref="G18:H2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App Usage Time (min/day)"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activeTabTopLevelEntity name="[user_behavior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DBC74F-DEEF-4931-AB49-572D45A5634B}" name="PivotTable8" cacheId="1229" applyNumberFormats="0" applyBorderFormats="0" applyFontFormats="0" applyPatternFormats="0" applyAlignmentFormats="0" applyWidthHeightFormats="1" dataCaption="Values" tag="76e9f92d-e3d4-4288-9778-5404b7593542" updatedVersion="8" minRefreshableVersion="3" useAutoFormatting="1" colGrandTotals="0" itemPrintTitles="1" createdVersion="8" indent="0" outline="1" outlineData="1" multipleFieldFilters="0" chartFormat="6">
  <location ref="E15:E16" firstHeaderRow="1" firstDataRow="1" firstDataCol="0"/>
  <pivotFields count="1">
    <pivotField dataField="1" subtotalTop="0" showAll="0" defaultSubtotal="0"/>
  </pivotFields>
  <rowItems count="1">
    <i/>
  </rowItems>
  <colItems count="1">
    <i/>
  </colItems>
  <dataFields count="1">
    <dataField name="Average of Data Usage (MB/day)" fld="0" subtotal="average" baseField="0" baseItem="0"/>
  </dataFields>
  <formats count="1">
    <format dxfId="50">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User ID"/>
    <pivotHierarchy dragToData="1"/>
    <pivotHierarchy dragToData="1" caption="Average of Age"/>
    <pivotHierarchy dragToData="1"/>
    <pivotHierarchy dragToData="1"/>
    <pivotHierarchy dragToData="1" caption="Average of Data Usage (MB/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20ADE6-98D7-4008-A954-60006716467D}" name="PivotTable3" cacheId="1954" applyNumberFormats="0" applyBorderFormats="0" applyFontFormats="0" applyPatternFormats="0" applyAlignmentFormats="0" applyWidthHeightFormats="1" dataCaption="Values" tag="86ca960e-40f4-4035-b490-c96bbdf62e1f" updatedVersion="8" minRefreshableVersion="3" useAutoFormatting="1" colGrandTotals="0" itemPrintTitles="1" createdVersion="8" indent="0" outline="1" outlineData="1" multipleFieldFilters="0" chartFormat="10">
  <location ref="B14:C1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Screen On Time (hours/day)"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AA49F7C-B126-423D-A54A-B7662FD8CFA5}" name="PivotTable7" cacheId="1948" applyNumberFormats="0" applyBorderFormats="0" applyFontFormats="0" applyPatternFormats="0" applyAlignmentFormats="0" applyWidthHeightFormats="1" dataCaption="Values" tag="26bff7c8-ccc2-4829-9b17-d1e9c66d7a43" updatedVersion="8" minRefreshableVersion="3" useAutoFormatting="1" colGrandTotals="0" itemPrintTitles="1" createdVersion="8" indent="0" outline="1" outlineData="1" multipleFieldFilters="0" chartFormat="6">
  <location ref="B22:C2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Age" fld="0" subtotal="average" baseField="0" baseItem="0" numFmtId="1"/>
    <dataField name="Average of Screen On Time (hours/day)" fld="1" subtotal="average" baseField="0" baseItem="1"/>
  </dataFields>
  <formats count="1">
    <format dxfId="51">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User ID"/>
    <pivotHierarchy dragToData="1"/>
    <pivotHierarchy dragToData="1" caption="Average of Age"/>
    <pivotHierarchy dragToData="1" caption="Average of Screen On Time (hours/da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947F4F-CF8F-433A-87CD-C284EB57F26E}" name="PivotTable2" cacheId="1936" applyNumberFormats="0" applyBorderFormats="0" applyFontFormats="0" applyPatternFormats="0" applyAlignmentFormats="0" applyWidthHeightFormats="1" dataCaption="Values" tag="8557db2a-7235-4f39-b8f0-3b1e4b2b2072" updatedVersion="8" minRefreshableVersion="3" useAutoFormatting="1" colGrandTotals="0" itemPrintTitles="1" createdVersion="8" indent="0" outline="1" outlineData="1" multipleFieldFilters="0" chartFormat="6">
  <location ref="G4:H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evice Model"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_behavior_dataset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849F57D-B4EF-4EF8-97C5-08BA9F5C7A51}" autoFormatId="16" applyNumberFormats="0" applyBorderFormats="0" applyFontFormats="0" applyPatternFormats="0" applyAlignmentFormats="0" applyWidthHeightFormats="0">
  <queryTableRefresh nextId="20" unboundColumnsRight="3">
    <queryTableFields count="15">
      <queryTableField id="1" name="User ID" tableColumnId="1"/>
      <queryTableField id="2" name="Age" tableColumnId="2"/>
      <queryTableField id="3" name="Gender" tableColumnId="3"/>
      <queryTableField id="4" name="Device Model" tableColumnId="4"/>
      <queryTableField id="5" name="Operating System" tableColumnId="5"/>
      <queryTableField id="6" name="App Usage Time (min/day)" tableColumnId="6"/>
      <queryTableField id="7" name="Screen On Time (hours/day)" tableColumnId="7"/>
      <queryTableField id="8" name="Battery Drain (mAh/day)" tableColumnId="8"/>
      <queryTableField id="9" name="Number of Apps Installed" tableColumnId="9"/>
      <queryTableField id="10" name="Data Usage (MB/day)" tableColumnId="10"/>
      <queryTableField id="11" name="User Behavior Class" tableColumnId="11"/>
      <queryTableField id="19" name="Age Group" tableColumnId="16"/>
      <queryTableField id="13" dataBound="0" tableColumnId="13"/>
      <queryTableField id="17" dataBound="0" tableColumnId="14"/>
      <queryTableField id="12" dataBound="0" tableColumnId="12"/>
    </queryTableFields>
  </queryTableRefresh>
  <extLst>
    <ext xmlns:x15="http://schemas.microsoft.com/office/spreadsheetml/2010/11/main" uri="{883FBD77-0823-4a55-B5E3-86C4891E6966}">
      <x15:queryTable sourceDataName="Query - user_behavior_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19668F-9F75-4D23-BE90-C36838D5B040}" sourceName="[user_behavior_dataset 1].[Gender]">
  <pivotTables>
    <pivotTable tabId="3" name="PivotTable1"/>
    <pivotTable tabId="3" name="PivotTable10"/>
    <pivotTable tabId="3" name="PivotTable11"/>
    <pivotTable tabId="3" name="PivotTable12"/>
    <pivotTable tabId="3" name="PivotTable14"/>
    <pivotTable tabId="3" name="PivotTable15"/>
    <pivotTable tabId="3" name="PivotTable16"/>
    <pivotTable tabId="3" name="PivotTable17"/>
    <pivotTable tabId="3" name="PivotTable19"/>
    <pivotTable tabId="3" name="PivotTable2"/>
    <pivotTable tabId="3" name="PivotTable20"/>
    <pivotTable tabId="3" name="PivotTable4"/>
    <pivotTable tabId="3" name="PivotTable5"/>
    <pivotTable tabId="3" name="PivotTable7"/>
    <pivotTable tabId="3" name="PivotTable9"/>
    <pivotTable tabId="3" name="PivotTable3"/>
  </pivotTables>
  <data>
    <olap pivotCacheId="854281089">
      <levels count="2">
        <level uniqueName="[user_behavior_dataset 1].[Gender].[(All)]" sourceCaption="(All)" count="0"/>
        <level uniqueName="[user_behavior_dataset 1].[Gender].[Gender]" sourceCaption="Gender" count="2">
          <ranges>
            <range startItem="0">
              <i n="[user_behavior_dataset 1].[Gender].&amp;[Female]" c="Female"/>
              <i n="[user_behavior_dataset 1].[Gender].&amp;[Male]" c="Male"/>
            </range>
          </ranges>
        </level>
      </levels>
      <selections count="1">
        <selection n="[user_behavior_dataset 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37A870-D3B1-4B4E-9E7F-3EF321D1430B}" cache="Slicer_Gender" caption="Gender" level="1" rowHeight="79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0CEC5-8332-42EF-9E3A-3672D55EB50C}" name="user_behavior_dataset" displayName="user_behavior_dataset" ref="A1:O701" tableType="queryTable" totalsRowShown="0">
  <autoFilter ref="A1:O701" xr:uid="{CBF0CEC5-8332-42EF-9E3A-3672D55EB50C}"/>
  <sortState xmlns:xlrd2="http://schemas.microsoft.com/office/spreadsheetml/2017/richdata2" ref="A2:O701">
    <sortCondition ref="A1:A701"/>
  </sortState>
  <tableColumns count="15">
    <tableColumn id="1" xr3:uid="{44E28707-62B1-452C-A1E9-2A1583ED3CB0}" uniqueName="1" name="User ID" queryTableFieldId="1"/>
    <tableColumn id="2" xr3:uid="{1BCE37B3-9B87-4A2B-AE7F-536F8B5A8FCF}" uniqueName="2" name="Age" queryTableFieldId="2"/>
    <tableColumn id="3" xr3:uid="{668B0870-6B07-4ABA-83B3-19A4F6EB1BFF}" uniqueName="3" name="Gender" queryTableFieldId="3" dataDxfId="54"/>
    <tableColumn id="4" xr3:uid="{0DA1CAAA-9F3F-4D17-B0A2-C5486371AF03}" uniqueName="4" name="Device Model" queryTableFieldId="4" dataDxfId="53"/>
    <tableColumn id="5" xr3:uid="{E49EA4DC-44A6-4E7F-98CB-2DBB73B0FBCB}" uniqueName="5" name="Operating System" queryTableFieldId="5" dataDxfId="52"/>
    <tableColumn id="6" xr3:uid="{9CC52BD6-1A53-4708-8C35-CD0F01D8EF86}" uniqueName="6" name="App Usage Time (min/day)" queryTableFieldId="6"/>
    <tableColumn id="7" xr3:uid="{0420D758-4748-493A-A032-A23069253B9B}" uniqueName="7" name="Screen On Time (hours/day)" queryTableFieldId="7"/>
    <tableColumn id="8" xr3:uid="{C970A139-7C3A-4E5E-B55B-D807161E9674}" uniqueName="8" name="Battery Drain (mAh/day)" queryTableFieldId="8"/>
    <tableColumn id="9" xr3:uid="{E6E3F488-BC63-4B99-B905-C4F0D81333AB}" uniqueName="9" name="Number of Apps Installed" queryTableFieldId="9"/>
    <tableColumn id="10" xr3:uid="{68A842D8-78BC-4F69-A909-A974646E7BFD}" uniqueName="10" name="Data Usage (MB/day)" queryTableFieldId="10"/>
    <tableColumn id="11" xr3:uid="{B6DCC316-6E4C-4F36-BB85-24169BF05624}" uniqueName="11" name="User Behavior Class" queryTableFieldId="11"/>
    <tableColumn id="16" xr3:uid="{782FF795-5BC5-4428-85D5-61A1094A45C4}" uniqueName="16" name="Age Group" queryTableFieldId="19"/>
    <tableColumn id="13" xr3:uid="{887FF4EB-0E84-43E9-B2D0-D8CC96D6599A}" uniqueName="13" name="Battery Drain per Hour" queryTableFieldId="13" dataDxfId="46">
      <calculatedColumnFormula>H:H/G:G</calculatedColumnFormula>
    </tableColumn>
    <tableColumn id="14" xr3:uid="{10B2A8CF-B99C-4968-9F74-4DB451E48401}" uniqueName="14" name="Column1" queryTableFieldId="17" dataDxfId="48">
      <calculatedColumnFormula>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calculatedColumnFormula>
    </tableColumn>
    <tableColumn id="12" xr3:uid="{9CA29361-F791-436F-AEBF-F8D2D8BCC208}" uniqueName="12" name="Avg Usage per App" queryTableFieldId="12" dataDxfId="47">
      <calculatedColumnFormula>F:F/I:I</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1760-F56E-4DCC-B7E0-D3E5159CB21E}">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7140-6F45-44EE-9B60-C42B5F831471}">
  <dimension ref="A1:O709"/>
  <sheetViews>
    <sheetView topLeftCell="E1" workbookViewId="0">
      <selection activeCell="M3" sqref="M3"/>
    </sheetView>
  </sheetViews>
  <sheetFormatPr defaultRowHeight="14.4" x14ac:dyDescent="0.3"/>
  <cols>
    <col min="1" max="1" width="9.21875" customWidth="1"/>
    <col min="2" max="2" width="6.44140625" customWidth="1"/>
    <col min="3" max="3" width="9.33203125" customWidth="1"/>
    <col min="4" max="4" width="17.5546875" customWidth="1"/>
    <col min="5" max="5" width="18.21875" customWidth="1"/>
    <col min="6" max="6" width="26.109375" customWidth="1"/>
    <col min="7" max="7" width="27.21875" customWidth="1"/>
    <col min="8" max="8" width="24.33203125" customWidth="1"/>
    <col min="9" max="9" width="24.88671875" customWidth="1"/>
    <col min="10" max="10" width="21.5546875" customWidth="1"/>
    <col min="11" max="11" width="19.6640625" customWidth="1"/>
    <col min="12" max="12" width="12.109375" customWidth="1"/>
    <col min="13" max="13" width="22.21875" customWidth="1"/>
    <col min="14" max="14" width="10.77734375" customWidth="1"/>
    <col min="15" max="16" width="19.21875" customWidth="1"/>
    <col min="17" max="17" width="19.6640625" bestFit="1" customWidth="1"/>
    <col min="18" max="18" width="19.21875" bestFit="1" customWidth="1"/>
    <col min="19" max="19" width="17.33203125" bestFit="1" customWidth="1"/>
  </cols>
  <sheetData>
    <row r="1" spans="1:15" x14ac:dyDescent="0.3">
      <c r="A1" t="s">
        <v>0</v>
      </c>
      <c r="B1" t="s">
        <v>1</v>
      </c>
      <c r="C1" t="s">
        <v>2</v>
      </c>
      <c r="D1" t="s">
        <v>3</v>
      </c>
      <c r="E1" t="s">
        <v>4</v>
      </c>
      <c r="F1" t="s">
        <v>5</v>
      </c>
      <c r="G1" t="s">
        <v>6</v>
      </c>
      <c r="H1" t="s">
        <v>7</v>
      </c>
      <c r="I1" t="s">
        <v>8</v>
      </c>
      <c r="J1" t="s">
        <v>9</v>
      </c>
      <c r="K1" t="s">
        <v>10</v>
      </c>
      <c r="L1" t="s">
        <v>33</v>
      </c>
      <c r="M1" t="s">
        <v>21</v>
      </c>
      <c r="N1" t="s">
        <v>22</v>
      </c>
      <c r="O1" t="s">
        <v>20</v>
      </c>
    </row>
    <row r="2" spans="1:15" x14ac:dyDescent="0.3">
      <c r="A2">
        <v>1</v>
      </c>
      <c r="B2">
        <v>40</v>
      </c>
      <c r="C2" t="s">
        <v>11</v>
      </c>
      <c r="D2" t="s">
        <v>15</v>
      </c>
      <c r="E2" t="s">
        <v>13</v>
      </c>
      <c r="F2">
        <v>393</v>
      </c>
      <c r="G2">
        <v>6.4</v>
      </c>
      <c r="H2">
        <v>1872</v>
      </c>
      <c r="I2">
        <v>67</v>
      </c>
      <c r="J2">
        <v>1122</v>
      </c>
      <c r="K2">
        <v>4</v>
      </c>
      <c r="L2" t="s">
        <v>34</v>
      </c>
      <c r="M2" s="2">
        <f t="shared" ref="M2:M65" si="0">H:H/G:G</f>
        <v>292.5</v>
      </c>
      <c r="N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 s="1">
        <f>F:F/I:I</f>
        <v>5.8656716417910451</v>
      </c>
    </row>
    <row r="3" spans="1:15" x14ac:dyDescent="0.3">
      <c r="A3">
        <v>2</v>
      </c>
      <c r="B3">
        <v>47</v>
      </c>
      <c r="C3" t="s">
        <v>14</v>
      </c>
      <c r="D3" t="s">
        <v>17</v>
      </c>
      <c r="E3" t="s">
        <v>13</v>
      </c>
      <c r="F3">
        <v>268</v>
      </c>
      <c r="G3">
        <v>4.7</v>
      </c>
      <c r="H3">
        <v>1331</v>
      </c>
      <c r="I3">
        <v>42</v>
      </c>
      <c r="J3">
        <v>944</v>
      </c>
      <c r="K3">
        <v>3</v>
      </c>
      <c r="L3" t="s">
        <v>41</v>
      </c>
      <c r="M3" s="2">
        <f t="shared" si="0"/>
        <v>283.19148936170211</v>
      </c>
      <c r="N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 s="1">
        <f>F:F/I:I</f>
        <v>6.3809523809523814</v>
      </c>
    </row>
    <row r="4" spans="1:15" x14ac:dyDescent="0.3">
      <c r="A4">
        <v>3</v>
      </c>
      <c r="B4">
        <v>42</v>
      </c>
      <c r="C4" t="s">
        <v>11</v>
      </c>
      <c r="D4" t="s">
        <v>12</v>
      </c>
      <c r="E4" t="s">
        <v>13</v>
      </c>
      <c r="F4">
        <v>154</v>
      </c>
      <c r="G4">
        <v>4</v>
      </c>
      <c r="H4">
        <v>761</v>
      </c>
      <c r="I4">
        <v>32</v>
      </c>
      <c r="J4">
        <v>322</v>
      </c>
      <c r="K4">
        <v>2</v>
      </c>
      <c r="L4" t="s">
        <v>34</v>
      </c>
      <c r="M4" s="2">
        <f t="shared" si="0"/>
        <v>190.25</v>
      </c>
      <c r="N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 s="1">
        <f>F:F/I:I</f>
        <v>4.8125</v>
      </c>
    </row>
    <row r="5" spans="1:15" x14ac:dyDescent="0.3">
      <c r="A5">
        <v>4</v>
      </c>
      <c r="B5">
        <v>20</v>
      </c>
      <c r="C5" t="s">
        <v>11</v>
      </c>
      <c r="D5" t="s">
        <v>15</v>
      </c>
      <c r="E5" t="s">
        <v>13</v>
      </c>
      <c r="F5">
        <v>239</v>
      </c>
      <c r="G5">
        <v>4.8</v>
      </c>
      <c r="H5">
        <v>1676</v>
      </c>
      <c r="I5">
        <v>56</v>
      </c>
      <c r="J5">
        <v>871</v>
      </c>
      <c r="K5">
        <v>3</v>
      </c>
      <c r="L5" t="s">
        <v>39</v>
      </c>
      <c r="M5" s="2">
        <f t="shared" si="0"/>
        <v>349.16666666666669</v>
      </c>
      <c r="N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 s="1">
        <f>F:F/I:I</f>
        <v>4.2678571428571432</v>
      </c>
    </row>
    <row r="6" spans="1:15" x14ac:dyDescent="0.3">
      <c r="A6">
        <v>5</v>
      </c>
      <c r="B6">
        <v>31</v>
      </c>
      <c r="C6" t="s">
        <v>14</v>
      </c>
      <c r="D6" t="s">
        <v>18</v>
      </c>
      <c r="E6" t="s">
        <v>19</v>
      </c>
      <c r="F6">
        <v>187</v>
      </c>
      <c r="G6">
        <v>4.3</v>
      </c>
      <c r="H6">
        <v>1367</v>
      </c>
      <c r="I6">
        <v>58</v>
      </c>
      <c r="J6">
        <v>988</v>
      </c>
      <c r="K6">
        <v>3</v>
      </c>
      <c r="L6" t="s">
        <v>40</v>
      </c>
      <c r="M6" s="2">
        <f t="shared" si="0"/>
        <v>317.90697674418607</v>
      </c>
      <c r="N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 s="1">
        <f>F:F/I:I</f>
        <v>3.2241379310344827</v>
      </c>
    </row>
    <row r="7" spans="1:15" x14ac:dyDescent="0.3">
      <c r="A7">
        <v>6</v>
      </c>
      <c r="B7">
        <v>31</v>
      </c>
      <c r="C7" t="s">
        <v>11</v>
      </c>
      <c r="D7" t="s">
        <v>15</v>
      </c>
      <c r="E7" t="s">
        <v>13</v>
      </c>
      <c r="F7">
        <v>99</v>
      </c>
      <c r="G7">
        <v>2</v>
      </c>
      <c r="H7">
        <v>940</v>
      </c>
      <c r="I7">
        <v>35</v>
      </c>
      <c r="J7">
        <v>564</v>
      </c>
      <c r="K7">
        <v>2</v>
      </c>
      <c r="L7" t="s">
        <v>40</v>
      </c>
      <c r="M7" s="2">
        <f t="shared" si="0"/>
        <v>470</v>
      </c>
      <c r="N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7" s="1">
        <f>F:F/I:I</f>
        <v>2.8285714285714287</v>
      </c>
    </row>
    <row r="8" spans="1:15" x14ac:dyDescent="0.3">
      <c r="A8">
        <v>7</v>
      </c>
      <c r="B8">
        <v>21</v>
      </c>
      <c r="C8" t="s">
        <v>14</v>
      </c>
      <c r="D8" t="s">
        <v>16</v>
      </c>
      <c r="E8" t="s">
        <v>13</v>
      </c>
      <c r="F8">
        <v>350</v>
      </c>
      <c r="G8">
        <v>7.3</v>
      </c>
      <c r="H8">
        <v>1802</v>
      </c>
      <c r="I8">
        <v>66</v>
      </c>
      <c r="J8">
        <v>1054</v>
      </c>
      <c r="K8">
        <v>4</v>
      </c>
      <c r="L8" t="s">
        <v>39</v>
      </c>
      <c r="M8" s="2">
        <f t="shared" si="0"/>
        <v>246.84931506849315</v>
      </c>
      <c r="N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8" s="1">
        <f>F:F/I:I</f>
        <v>5.3030303030303028</v>
      </c>
    </row>
    <row r="9" spans="1:15" x14ac:dyDescent="0.3">
      <c r="A9">
        <v>8</v>
      </c>
      <c r="B9">
        <v>31</v>
      </c>
      <c r="C9" t="s">
        <v>11</v>
      </c>
      <c r="D9" t="s">
        <v>17</v>
      </c>
      <c r="E9" t="s">
        <v>13</v>
      </c>
      <c r="F9">
        <v>543</v>
      </c>
      <c r="G9">
        <v>11.4</v>
      </c>
      <c r="H9">
        <v>2956</v>
      </c>
      <c r="I9">
        <v>82</v>
      </c>
      <c r="J9">
        <v>1702</v>
      </c>
      <c r="K9">
        <v>5</v>
      </c>
      <c r="L9" t="s">
        <v>40</v>
      </c>
      <c r="M9" s="2">
        <f t="shared" si="0"/>
        <v>259.29824561403507</v>
      </c>
      <c r="N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9" s="1">
        <f>F:F/I:I</f>
        <v>6.6219512195121952</v>
      </c>
    </row>
    <row r="10" spans="1:15" x14ac:dyDescent="0.3">
      <c r="A10">
        <v>9</v>
      </c>
      <c r="B10">
        <v>42</v>
      </c>
      <c r="C10" t="s">
        <v>14</v>
      </c>
      <c r="D10" t="s">
        <v>16</v>
      </c>
      <c r="E10" t="s">
        <v>13</v>
      </c>
      <c r="F10">
        <v>340</v>
      </c>
      <c r="G10">
        <v>7.7</v>
      </c>
      <c r="H10">
        <v>2138</v>
      </c>
      <c r="I10">
        <v>75</v>
      </c>
      <c r="J10">
        <v>1053</v>
      </c>
      <c r="K10">
        <v>4</v>
      </c>
      <c r="L10" t="s">
        <v>34</v>
      </c>
      <c r="M10" s="2">
        <f t="shared" si="0"/>
        <v>277.66233766233768</v>
      </c>
      <c r="N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0" s="1">
        <f>F:F/I:I</f>
        <v>4.5333333333333332</v>
      </c>
    </row>
    <row r="11" spans="1:15" x14ac:dyDescent="0.3">
      <c r="A11">
        <v>10</v>
      </c>
      <c r="B11">
        <v>42</v>
      </c>
      <c r="C11" t="s">
        <v>11</v>
      </c>
      <c r="D11" t="s">
        <v>18</v>
      </c>
      <c r="E11" t="s">
        <v>19</v>
      </c>
      <c r="F11">
        <v>424</v>
      </c>
      <c r="G11">
        <v>6.6</v>
      </c>
      <c r="H11">
        <v>1957</v>
      </c>
      <c r="I11">
        <v>75</v>
      </c>
      <c r="J11">
        <v>1301</v>
      </c>
      <c r="K11">
        <v>4</v>
      </c>
      <c r="L11" t="s">
        <v>34</v>
      </c>
      <c r="M11" s="2">
        <f t="shared" si="0"/>
        <v>296.51515151515156</v>
      </c>
      <c r="N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1" s="1">
        <f>F:F/I:I</f>
        <v>5.6533333333333333</v>
      </c>
    </row>
    <row r="12" spans="1:15" x14ac:dyDescent="0.3">
      <c r="A12">
        <v>11</v>
      </c>
      <c r="B12">
        <v>34</v>
      </c>
      <c r="C12" t="s">
        <v>14</v>
      </c>
      <c r="D12" t="s">
        <v>15</v>
      </c>
      <c r="E12" t="s">
        <v>13</v>
      </c>
      <c r="F12">
        <v>53</v>
      </c>
      <c r="G12">
        <v>1.4</v>
      </c>
      <c r="H12">
        <v>435</v>
      </c>
      <c r="I12">
        <v>17</v>
      </c>
      <c r="J12">
        <v>162</v>
      </c>
      <c r="K12">
        <v>1</v>
      </c>
      <c r="L12" t="s">
        <v>40</v>
      </c>
      <c r="M12" s="2">
        <f t="shared" si="0"/>
        <v>310.71428571428572</v>
      </c>
      <c r="N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2" s="1">
        <f>F:F/I:I</f>
        <v>3.1176470588235294</v>
      </c>
    </row>
    <row r="13" spans="1:15" x14ac:dyDescent="0.3">
      <c r="A13">
        <v>12</v>
      </c>
      <c r="B13">
        <v>24</v>
      </c>
      <c r="C13" t="s">
        <v>11</v>
      </c>
      <c r="D13" t="s">
        <v>17</v>
      </c>
      <c r="E13" t="s">
        <v>13</v>
      </c>
      <c r="F13">
        <v>215</v>
      </c>
      <c r="G13">
        <v>5.5</v>
      </c>
      <c r="H13">
        <v>1690</v>
      </c>
      <c r="I13">
        <v>47</v>
      </c>
      <c r="J13">
        <v>641</v>
      </c>
      <c r="K13">
        <v>3</v>
      </c>
      <c r="L13" t="s">
        <v>39</v>
      </c>
      <c r="M13" s="2">
        <f t="shared" si="0"/>
        <v>307.27272727272725</v>
      </c>
      <c r="N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3" s="1">
        <f>F:F/I:I</f>
        <v>4.5744680851063828</v>
      </c>
    </row>
    <row r="14" spans="1:15" x14ac:dyDescent="0.3">
      <c r="A14">
        <v>13</v>
      </c>
      <c r="B14">
        <v>57</v>
      </c>
      <c r="C14" t="s">
        <v>14</v>
      </c>
      <c r="D14" t="s">
        <v>17</v>
      </c>
      <c r="E14" t="s">
        <v>13</v>
      </c>
      <c r="F14">
        <v>462</v>
      </c>
      <c r="G14">
        <v>6.2</v>
      </c>
      <c r="H14">
        <v>2303</v>
      </c>
      <c r="I14">
        <v>65</v>
      </c>
      <c r="J14">
        <v>1099</v>
      </c>
      <c r="K14">
        <v>4</v>
      </c>
      <c r="L14" t="s">
        <v>37</v>
      </c>
      <c r="M14" s="2">
        <f t="shared" si="0"/>
        <v>371.45161290322579</v>
      </c>
      <c r="N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4" s="1">
        <f>F:F/I:I</f>
        <v>7.1076923076923073</v>
      </c>
    </row>
    <row r="15" spans="1:15" x14ac:dyDescent="0.3">
      <c r="A15">
        <v>14</v>
      </c>
      <c r="B15">
        <v>43</v>
      </c>
      <c r="C15" t="s">
        <v>11</v>
      </c>
      <c r="D15" t="s">
        <v>12</v>
      </c>
      <c r="E15" t="s">
        <v>13</v>
      </c>
      <c r="F15">
        <v>215</v>
      </c>
      <c r="G15">
        <v>4.9000000000000004</v>
      </c>
      <c r="H15">
        <v>1662</v>
      </c>
      <c r="I15">
        <v>43</v>
      </c>
      <c r="J15">
        <v>857</v>
      </c>
      <c r="K15">
        <v>3</v>
      </c>
      <c r="L15" t="s">
        <v>34</v>
      </c>
      <c r="M15" s="2">
        <f t="shared" si="0"/>
        <v>339.18367346938771</v>
      </c>
      <c r="N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5" s="1">
        <f>F:F/I:I</f>
        <v>5</v>
      </c>
    </row>
    <row r="16" spans="1:15" x14ac:dyDescent="0.3">
      <c r="A16">
        <v>15</v>
      </c>
      <c r="B16">
        <v>49</v>
      </c>
      <c r="C16" t="s">
        <v>14</v>
      </c>
      <c r="D16" t="s">
        <v>18</v>
      </c>
      <c r="E16" t="s">
        <v>19</v>
      </c>
      <c r="F16">
        <v>189</v>
      </c>
      <c r="G16">
        <v>5.4</v>
      </c>
      <c r="H16">
        <v>1754</v>
      </c>
      <c r="I16">
        <v>53</v>
      </c>
      <c r="J16">
        <v>779</v>
      </c>
      <c r="K16">
        <v>3</v>
      </c>
      <c r="L16" t="s">
        <v>41</v>
      </c>
      <c r="M16" s="2">
        <f t="shared" si="0"/>
        <v>324.81481481481478</v>
      </c>
      <c r="N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6" s="1">
        <f>F:F/I:I</f>
        <v>3.5660377358490565</v>
      </c>
    </row>
    <row r="17" spans="1:15" x14ac:dyDescent="0.3">
      <c r="A17">
        <v>16</v>
      </c>
      <c r="B17">
        <v>39</v>
      </c>
      <c r="C17" t="s">
        <v>14</v>
      </c>
      <c r="D17" t="s">
        <v>15</v>
      </c>
      <c r="E17" t="s">
        <v>13</v>
      </c>
      <c r="F17">
        <v>503</v>
      </c>
      <c r="G17">
        <v>10.4</v>
      </c>
      <c r="H17">
        <v>2571</v>
      </c>
      <c r="I17">
        <v>84</v>
      </c>
      <c r="J17">
        <v>2025</v>
      </c>
      <c r="K17">
        <v>5</v>
      </c>
      <c r="L17" t="s">
        <v>35</v>
      </c>
      <c r="M17" s="2">
        <f t="shared" si="0"/>
        <v>247.21153846153845</v>
      </c>
      <c r="N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7" s="1">
        <f>F:F/I:I</f>
        <v>5.9880952380952381</v>
      </c>
    </row>
    <row r="18" spans="1:15" x14ac:dyDescent="0.3">
      <c r="A18">
        <v>17</v>
      </c>
      <c r="B18">
        <v>47</v>
      </c>
      <c r="C18" t="s">
        <v>14</v>
      </c>
      <c r="D18" t="s">
        <v>17</v>
      </c>
      <c r="E18" t="s">
        <v>13</v>
      </c>
      <c r="F18">
        <v>132</v>
      </c>
      <c r="G18">
        <v>3.6</v>
      </c>
      <c r="H18">
        <v>628</v>
      </c>
      <c r="I18">
        <v>32</v>
      </c>
      <c r="J18">
        <v>344</v>
      </c>
      <c r="K18">
        <v>2</v>
      </c>
      <c r="L18" t="s">
        <v>41</v>
      </c>
      <c r="M18" s="2">
        <f t="shared" si="0"/>
        <v>174.44444444444443</v>
      </c>
      <c r="N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8" s="1">
        <f>F:F/I:I</f>
        <v>4.125</v>
      </c>
    </row>
    <row r="19" spans="1:15" x14ac:dyDescent="0.3">
      <c r="A19">
        <v>18</v>
      </c>
      <c r="B19">
        <v>44</v>
      </c>
      <c r="C19" t="s">
        <v>14</v>
      </c>
      <c r="D19" t="s">
        <v>18</v>
      </c>
      <c r="E19" t="s">
        <v>19</v>
      </c>
      <c r="F19">
        <v>299</v>
      </c>
      <c r="G19">
        <v>5.8</v>
      </c>
      <c r="H19">
        <v>1431</v>
      </c>
      <c r="I19">
        <v>41</v>
      </c>
      <c r="J19">
        <v>985</v>
      </c>
      <c r="K19">
        <v>3</v>
      </c>
      <c r="L19" t="s">
        <v>34</v>
      </c>
      <c r="M19" s="2">
        <f t="shared" si="0"/>
        <v>246.72413793103448</v>
      </c>
      <c r="N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9" s="1">
        <f>F:F/I:I</f>
        <v>7.2926829268292686</v>
      </c>
    </row>
    <row r="20" spans="1:15" x14ac:dyDescent="0.3">
      <c r="A20">
        <v>19</v>
      </c>
      <c r="B20">
        <v>26</v>
      </c>
      <c r="C20" t="s">
        <v>14</v>
      </c>
      <c r="D20" t="s">
        <v>15</v>
      </c>
      <c r="E20" t="s">
        <v>13</v>
      </c>
      <c r="F20">
        <v>81</v>
      </c>
      <c r="G20">
        <v>1.4</v>
      </c>
      <c r="H20">
        <v>558</v>
      </c>
      <c r="I20">
        <v>16</v>
      </c>
      <c r="J20">
        <v>297</v>
      </c>
      <c r="K20">
        <v>1</v>
      </c>
      <c r="L20" t="s">
        <v>36</v>
      </c>
      <c r="M20" s="2">
        <f t="shared" si="0"/>
        <v>398.57142857142861</v>
      </c>
      <c r="N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0" s="1">
        <f>F:F/I:I</f>
        <v>5.0625</v>
      </c>
    </row>
    <row r="21" spans="1:15" x14ac:dyDescent="0.3">
      <c r="A21">
        <v>20</v>
      </c>
      <c r="B21">
        <v>29</v>
      </c>
      <c r="C21" t="s">
        <v>14</v>
      </c>
      <c r="D21" t="s">
        <v>18</v>
      </c>
      <c r="E21" t="s">
        <v>19</v>
      </c>
      <c r="F21">
        <v>577</v>
      </c>
      <c r="G21">
        <v>8.5</v>
      </c>
      <c r="H21">
        <v>2774</v>
      </c>
      <c r="I21">
        <v>89</v>
      </c>
      <c r="J21">
        <v>2192</v>
      </c>
      <c r="K21">
        <v>5</v>
      </c>
      <c r="L21" t="s">
        <v>36</v>
      </c>
      <c r="M21" s="2">
        <f t="shared" si="0"/>
        <v>326.35294117647061</v>
      </c>
      <c r="N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1" s="1">
        <f>F:F/I:I</f>
        <v>6.4831460674157304</v>
      </c>
    </row>
    <row r="22" spans="1:15" x14ac:dyDescent="0.3">
      <c r="A22">
        <v>21</v>
      </c>
      <c r="B22">
        <v>45</v>
      </c>
      <c r="C22" t="s">
        <v>14</v>
      </c>
      <c r="D22" t="s">
        <v>16</v>
      </c>
      <c r="E22" t="s">
        <v>13</v>
      </c>
      <c r="F22">
        <v>93</v>
      </c>
      <c r="G22">
        <v>2.6</v>
      </c>
      <c r="H22">
        <v>681</v>
      </c>
      <c r="I22">
        <v>37</v>
      </c>
      <c r="J22">
        <v>302</v>
      </c>
      <c r="K22">
        <v>2</v>
      </c>
      <c r="L22" t="s">
        <v>41</v>
      </c>
      <c r="M22" s="2">
        <f t="shared" si="0"/>
        <v>261.92307692307691</v>
      </c>
      <c r="N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2" s="1">
        <f>F:F/I:I</f>
        <v>2.5135135135135136</v>
      </c>
    </row>
    <row r="23" spans="1:15" x14ac:dyDescent="0.3">
      <c r="A23">
        <v>22</v>
      </c>
      <c r="B23">
        <v>43</v>
      </c>
      <c r="C23" t="s">
        <v>14</v>
      </c>
      <c r="D23" t="s">
        <v>17</v>
      </c>
      <c r="E23" t="s">
        <v>13</v>
      </c>
      <c r="F23">
        <v>576</v>
      </c>
      <c r="G23">
        <v>11.6</v>
      </c>
      <c r="H23">
        <v>2803</v>
      </c>
      <c r="I23">
        <v>82</v>
      </c>
      <c r="J23">
        <v>1553</v>
      </c>
      <c r="K23">
        <v>5</v>
      </c>
      <c r="L23" t="s">
        <v>34</v>
      </c>
      <c r="M23" s="2">
        <f t="shared" si="0"/>
        <v>241.63793103448276</v>
      </c>
      <c r="N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3" s="1">
        <f>F:F/I:I</f>
        <v>7.024390243902439</v>
      </c>
    </row>
    <row r="24" spans="1:15" x14ac:dyDescent="0.3">
      <c r="A24">
        <v>23</v>
      </c>
      <c r="B24">
        <v>23</v>
      </c>
      <c r="C24" t="s">
        <v>14</v>
      </c>
      <c r="D24" t="s">
        <v>16</v>
      </c>
      <c r="E24" t="s">
        <v>13</v>
      </c>
      <c r="F24">
        <v>423</v>
      </c>
      <c r="G24">
        <v>6.5</v>
      </c>
      <c r="H24">
        <v>2094</v>
      </c>
      <c r="I24">
        <v>65</v>
      </c>
      <c r="J24">
        <v>1372</v>
      </c>
      <c r="K24">
        <v>4</v>
      </c>
      <c r="L24" t="s">
        <v>39</v>
      </c>
      <c r="M24" s="2">
        <f t="shared" si="0"/>
        <v>322.15384615384613</v>
      </c>
      <c r="N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4" s="1">
        <f>F:F/I:I</f>
        <v>6.5076923076923077</v>
      </c>
    </row>
    <row r="25" spans="1:15" x14ac:dyDescent="0.3">
      <c r="A25">
        <v>24</v>
      </c>
      <c r="B25">
        <v>37</v>
      </c>
      <c r="C25" t="s">
        <v>14</v>
      </c>
      <c r="D25" t="s">
        <v>15</v>
      </c>
      <c r="E25" t="s">
        <v>13</v>
      </c>
      <c r="F25">
        <v>292</v>
      </c>
      <c r="G25">
        <v>5.6</v>
      </c>
      <c r="H25">
        <v>1401</v>
      </c>
      <c r="I25">
        <v>46</v>
      </c>
      <c r="J25">
        <v>949</v>
      </c>
      <c r="K25">
        <v>3</v>
      </c>
      <c r="L25" t="s">
        <v>35</v>
      </c>
      <c r="M25" s="2">
        <f t="shared" si="0"/>
        <v>250.17857142857144</v>
      </c>
      <c r="N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5" s="1">
        <f>F:F/I:I</f>
        <v>6.3478260869565215</v>
      </c>
    </row>
    <row r="26" spans="1:15" x14ac:dyDescent="0.3">
      <c r="A26">
        <v>25</v>
      </c>
      <c r="B26">
        <v>58</v>
      </c>
      <c r="C26" t="s">
        <v>11</v>
      </c>
      <c r="D26" t="s">
        <v>17</v>
      </c>
      <c r="E26" t="s">
        <v>13</v>
      </c>
      <c r="F26">
        <v>216</v>
      </c>
      <c r="G26">
        <v>4</v>
      </c>
      <c r="H26">
        <v>1711</v>
      </c>
      <c r="I26">
        <v>59</v>
      </c>
      <c r="J26">
        <v>748</v>
      </c>
      <c r="K26">
        <v>3</v>
      </c>
      <c r="L26" t="s">
        <v>37</v>
      </c>
      <c r="M26" s="2">
        <f t="shared" si="0"/>
        <v>427.75</v>
      </c>
      <c r="N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6" s="1">
        <f>F:F/I:I</f>
        <v>3.6610169491525424</v>
      </c>
    </row>
    <row r="27" spans="1:15" x14ac:dyDescent="0.3">
      <c r="A27">
        <v>26</v>
      </c>
      <c r="B27">
        <v>52</v>
      </c>
      <c r="C27" t="s">
        <v>11</v>
      </c>
      <c r="D27" t="s">
        <v>16</v>
      </c>
      <c r="E27" t="s">
        <v>13</v>
      </c>
      <c r="F27">
        <v>91</v>
      </c>
      <c r="G27">
        <v>3.4</v>
      </c>
      <c r="H27">
        <v>1073</v>
      </c>
      <c r="I27">
        <v>38</v>
      </c>
      <c r="J27">
        <v>451</v>
      </c>
      <c r="K27">
        <v>2</v>
      </c>
      <c r="L27" t="s">
        <v>38</v>
      </c>
      <c r="M27" s="2">
        <f t="shared" si="0"/>
        <v>315.58823529411768</v>
      </c>
      <c r="N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7" s="1">
        <f>F:F/I:I</f>
        <v>2.3947368421052633</v>
      </c>
    </row>
    <row r="28" spans="1:15" x14ac:dyDescent="0.3">
      <c r="A28">
        <v>27</v>
      </c>
      <c r="B28">
        <v>29</v>
      </c>
      <c r="C28" t="s">
        <v>11</v>
      </c>
      <c r="D28" t="s">
        <v>18</v>
      </c>
      <c r="E28" t="s">
        <v>19</v>
      </c>
      <c r="F28">
        <v>444</v>
      </c>
      <c r="G28">
        <v>7.6</v>
      </c>
      <c r="H28">
        <v>2372</v>
      </c>
      <c r="I28">
        <v>77</v>
      </c>
      <c r="J28">
        <v>1002</v>
      </c>
      <c r="K28">
        <v>4</v>
      </c>
      <c r="L28" t="s">
        <v>36</v>
      </c>
      <c r="M28" s="2">
        <f t="shared" si="0"/>
        <v>312.10526315789474</v>
      </c>
      <c r="N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8" s="1">
        <f>F:F/I:I</f>
        <v>5.7662337662337659</v>
      </c>
    </row>
    <row r="29" spans="1:15" x14ac:dyDescent="0.3">
      <c r="A29">
        <v>28</v>
      </c>
      <c r="B29">
        <v>33</v>
      </c>
      <c r="C29" t="s">
        <v>11</v>
      </c>
      <c r="D29" t="s">
        <v>15</v>
      </c>
      <c r="E29" t="s">
        <v>13</v>
      </c>
      <c r="F29">
        <v>512</v>
      </c>
      <c r="G29">
        <v>10.5</v>
      </c>
      <c r="H29">
        <v>2409</v>
      </c>
      <c r="I29">
        <v>89</v>
      </c>
      <c r="J29">
        <v>1599</v>
      </c>
      <c r="K29">
        <v>5</v>
      </c>
      <c r="L29" t="s">
        <v>40</v>
      </c>
      <c r="M29" s="2">
        <f t="shared" si="0"/>
        <v>229.42857142857142</v>
      </c>
      <c r="N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9" s="1">
        <f>F:F/I:I</f>
        <v>5.7528089887640448</v>
      </c>
    </row>
    <row r="30" spans="1:15" x14ac:dyDescent="0.3">
      <c r="A30">
        <v>29</v>
      </c>
      <c r="B30">
        <v>55</v>
      </c>
      <c r="C30" t="s">
        <v>14</v>
      </c>
      <c r="D30" t="s">
        <v>17</v>
      </c>
      <c r="E30" t="s">
        <v>13</v>
      </c>
      <c r="F30">
        <v>452</v>
      </c>
      <c r="G30">
        <v>6.8</v>
      </c>
      <c r="H30">
        <v>2387</v>
      </c>
      <c r="I30">
        <v>77</v>
      </c>
      <c r="J30">
        <v>1456</v>
      </c>
      <c r="K30">
        <v>4</v>
      </c>
      <c r="L30" t="s">
        <v>37</v>
      </c>
      <c r="M30" s="2">
        <f t="shared" si="0"/>
        <v>351.02941176470591</v>
      </c>
      <c r="N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0" s="1">
        <f>F:F/I:I</f>
        <v>5.8701298701298699</v>
      </c>
    </row>
    <row r="31" spans="1:15" x14ac:dyDescent="0.3">
      <c r="A31">
        <v>30</v>
      </c>
      <c r="B31">
        <v>19</v>
      </c>
      <c r="C31" t="s">
        <v>14</v>
      </c>
      <c r="D31" t="s">
        <v>16</v>
      </c>
      <c r="E31" t="s">
        <v>13</v>
      </c>
      <c r="F31">
        <v>412</v>
      </c>
      <c r="G31">
        <v>6.2</v>
      </c>
      <c r="H31">
        <v>1899</v>
      </c>
      <c r="I31">
        <v>78</v>
      </c>
      <c r="J31">
        <v>1384</v>
      </c>
      <c r="K31">
        <v>4</v>
      </c>
      <c r="L31" t="s">
        <v>42</v>
      </c>
      <c r="M31" s="2">
        <f t="shared" si="0"/>
        <v>306.29032258064512</v>
      </c>
      <c r="N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31" s="1">
        <f>F:F/I:I</f>
        <v>5.2820512820512819</v>
      </c>
    </row>
    <row r="32" spans="1:15" x14ac:dyDescent="0.3">
      <c r="A32">
        <v>31</v>
      </c>
      <c r="B32">
        <v>37</v>
      </c>
      <c r="C32" t="s">
        <v>14</v>
      </c>
      <c r="D32" t="s">
        <v>12</v>
      </c>
      <c r="E32" t="s">
        <v>13</v>
      </c>
      <c r="F32">
        <v>260</v>
      </c>
      <c r="G32">
        <v>6</v>
      </c>
      <c r="H32">
        <v>1361</v>
      </c>
      <c r="I32">
        <v>44</v>
      </c>
      <c r="J32">
        <v>889</v>
      </c>
      <c r="K32">
        <v>3</v>
      </c>
      <c r="L32" t="s">
        <v>35</v>
      </c>
      <c r="M32" s="2">
        <f t="shared" si="0"/>
        <v>226.83333333333334</v>
      </c>
      <c r="N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2" s="1">
        <f>F:F/I:I</f>
        <v>5.9090909090909092</v>
      </c>
    </row>
    <row r="33" spans="1:15" x14ac:dyDescent="0.3">
      <c r="A33">
        <v>32</v>
      </c>
      <c r="B33">
        <v>25</v>
      </c>
      <c r="C33" t="s">
        <v>11</v>
      </c>
      <c r="D33" t="s">
        <v>12</v>
      </c>
      <c r="E33" t="s">
        <v>13</v>
      </c>
      <c r="F33">
        <v>197</v>
      </c>
      <c r="G33">
        <v>4.5999999999999996</v>
      </c>
      <c r="H33">
        <v>1660</v>
      </c>
      <c r="I33">
        <v>59</v>
      </c>
      <c r="J33">
        <v>975</v>
      </c>
      <c r="K33">
        <v>3</v>
      </c>
      <c r="L33" t="s">
        <v>36</v>
      </c>
      <c r="M33" s="2">
        <f t="shared" si="0"/>
        <v>360.86956521739131</v>
      </c>
      <c r="N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3" s="1">
        <f>F:F/I:I</f>
        <v>3.3389830508474576</v>
      </c>
    </row>
    <row r="34" spans="1:15" x14ac:dyDescent="0.3">
      <c r="A34">
        <v>33</v>
      </c>
      <c r="B34">
        <v>21</v>
      </c>
      <c r="C34" t="s">
        <v>11</v>
      </c>
      <c r="D34" t="s">
        <v>15</v>
      </c>
      <c r="E34" t="s">
        <v>13</v>
      </c>
      <c r="F34">
        <v>278</v>
      </c>
      <c r="G34">
        <v>4.7</v>
      </c>
      <c r="H34">
        <v>1484</v>
      </c>
      <c r="I34">
        <v>55</v>
      </c>
      <c r="J34">
        <v>917</v>
      </c>
      <c r="K34">
        <v>3</v>
      </c>
      <c r="L34" t="s">
        <v>39</v>
      </c>
      <c r="M34" s="2">
        <f t="shared" si="0"/>
        <v>315.74468085106383</v>
      </c>
      <c r="N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4" s="1">
        <f>F:F/I:I</f>
        <v>5.0545454545454547</v>
      </c>
    </row>
    <row r="35" spans="1:15" x14ac:dyDescent="0.3">
      <c r="A35">
        <v>34</v>
      </c>
      <c r="B35">
        <v>58</v>
      </c>
      <c r="C35" t="s">
        <v>11</v>
      </c>
      <c r="D35" t="s">
        <v>15</v>
      </c>
      <c r="E35" t="s">
        <v>13</v>
      </c>
      <c r="F35">
        <v>46</v>
      </c>
      <c r="G35">
        <v>2</v>
      </c>
      <c r="H35">
        <v>457</v>
      </c>
      <c r="I35">
        <v>14</v>
      </c>
      <c r="J35">
        <v>105</v>
      </c>
      <c r="K35">
        <v>1</v>
      </c>
      <c r="L35" t="s">
        <v>37</v>
      </c>
      <c r="M35" s="2">
        <f t="shared" si="0"/>
        <v>228.5</v>
      </c>
      <c r="N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5" s="1">
        <f>F:F/I:I</f>
        <v>3.2857142857142856</v>
      </c>
    </row>
    <row r="36" spans="1:15" x14ac:dyDescent="0.3">
      <c r="A36">
        <v>35</v>
      </c>
      <c r="B36">
        <v>38</v>
      </c>
      <c r="C36" t="s">
        <v>14</v>
      </c>
      <c r="D36" t="s">
        <v>12</v>
      </c>
      <c r="E36" t="s">
        <v>13</v>
      </c>
      <c r="F36">
        <v>593</v>
      </c>
      <c r="G36">
        <v>10.199999999999999</v>
      </c>
      <c r="H36">
        <v>2499</v>
      </c>
      <c r="I36">
        <v>81</v>
      </c>
      <c r="J36">
        <v>1616</v>
      </c>
      <c r="K36">
        <v>5</v>
      </c>
      <c r="L36" t="s">
        <v>35</v>
      </c>
      <c r="M36" s="2">
        <f t="shared" si="0"/>
        <v>245.00000000000003</v>
      </c>
      <c r="N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6" s="1">
        <f>F:F/I:I</f>
        <v>7.3209876543209873</v>
      </c>
    </row>
    <row r="37" spans="1:15" x14ac:dyDescent="0.3">
      <c r="A37">
        <v>36</v>
      </c>
      <c r="B37">
        <v>20</v>
      </c>
      <c r="C37" t="s">
        <v>14</v>
      </c>
      <c r="D37" t="s">
        <v>16</v>
      </c>
      <c r="E37" t="s">
        <v>13</v>
      </c>
      <c r="F37">
        <v>32</v>
      </c>
      <c r="G37">
        <v>1.2</v>
      </c>
      <c r="H37">
        <v>580</v>
      </c>
      <c r="I37">
        <v>19</v>
      </c>
      <c r="J37">
        <v>153</v>
      </c>
      <c r="K37">
        <v>1</v>
      </c>
      <c r="L37" t="s">
        <v>39</v>
      </c>
      <c r="M37" s="2">
        <f t="shared" si="0"/>
        <v>483.33333333333337</v>
      </c>
      <c r="N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7" s="1">
        <f>F:F/I:I</f>
        <v>1.6842105263157894</v>
      </c>
    </row>
    <row r="38" spans="1:15" x14ac:dyDescent="0.3">
      <c r="A38">
        <v>37</v>
      </c>
      <c r="B38">
        <v>26</v>
      </c>
      <c r="C38" t="s">
        <v>11</v>
      </c>
      <c r="D38" t="s">
        <v>18</v>
      </c>
      <c r="E38" t="s">
        <v>19</v>
      </c>
      <c r="F38">
        <v>122</v>
      </c>
      <c r="G38">
        <v>3.3</v>
      </c>
      <c r="H38">
        <v>755</v>
      </c>
      <c r="I38">
        <v>30</v>
      </c>
      <c r="J38">
        <v>573</v>
      </c>
      <c r="K38">
        <v>2</v>
      </c>
      <c r="L38" t="s">
        <v>36</v>
      </c>
      <c r="M38" s="2">
        <f t="shared" si="0"/>
        <v>228.78787878787881</v>
      </c>
      <c r="N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8" s="1">
        <f>F:F/I:I</f>
        <v>4.0666666666666664</v>
      </c>
    </row>
    <row r="39" spans="1:15" x14ac:dyDescent="0.3">
      <c r="A39">
        <v>38</v>
      </c>
      <c r="B39">
        <v>24</v>
      </c>
      <c r="C39" t="s">
        <v>11</v>
      </c>
      <c r="D39" t="s">
        <v>16</v>
      </c>
      <c r="E39" t="s">
        <v>13</v>
      </c>
      <c r="F39">
        <v>522</v>
      </c>
      <c r="G39">
        <v>11.2</v>
      </c>
      <c r="H39">
        <v>2808</v>
      </c>
      <c r="I39">
        <v>93</v>
      </c>
      <c r="J39">
        <v>2328</v>
      </c>
      <c r="K39">
        <v>5</v>
      </c>
      <c r="L39" t="s">
        <v>39</v>
      </c>
      <c r="M39" s="2">
        <f t="shared" si="0"/>
        <v>250.71428571428572</v>
      </c>
      <c r="N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9" s="1">
        <f>F:F/I:I</f>
        <v>5.612903225806452</v>
      </c>
    </row>
    <row r="40" spans="1:15" x14ac:dyDescent="0.3">
      <c r="A40">
        <v>39</v>
      </c>
      <c r="B40">
        <v>40</v>
      </c>
      <c r="C40" t="s">
        <v>11</v>
      </c>
      <c r="D40" t="s">
        <v>17</v>
      </c>
      <c r="E40" t="s">
        <v>13</v>
      </c>
      <c r="F40">
        <v>473</v>
      </c>
      <c r="G40">
        <v>6.4</v>
      </c>
      <c r="H40">
        <v>2312</v>
      </c>
      <c r="I40">
        <v>74</v>
      </c>
      <c r="J40">
        <v>1400</v>
      </c>
      <c r="K40">
        <v>4</v>
      </c>
      <c r="L40" t="s">
        <v>34</v>
      </c>
      <c r="M40" s="2">
        <f t="shared" si="0"/>
        <v>361.25</v>
      </c>
      <c r="N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0" s="1">
        <f>F:F/I:I</f>
        <v>6.3918918918918921</v>
      </c>
    </row>
    <row r="41" spans="1:15" x14ac:dyDescent="0.3">
      <c r="A41">
        <v>40</v>
      </c>
      <c r="B41">
        <v>23</v>
      </c>
      <c r="C41" t="s">
        <v>11</v>
      </c>
      <c r="D41" t="s">
        <v>16</v>
      </c>
      <c r="E41" t="s">
        <v>13</v>
      </c>
      <c r="F41">
        <v>398</v>
      </c>
      <c r="G41">
        <v>6.2</v>
      </c>
      <c r="H41">
        <v>1851</v>
      </c>
      <c r="I41">
        <v>77</v>
      </c>
      <c r="J41">
        <v>1180</v>
      </c>
      <c r="K41">
        <v>4</v>
      </c>
      <c r="L41" t="s">
        <v>39</v>
      </c>
      <c r="M41" s="2">
        <f t="shared" si="0"/>
        <v>298.54838709677421</v>
      </c>
      <c r="N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1" s="1">
        <f>F:F/I:I</f>
        <v>5.1688311688311686</v>
      </c>
    </row>
    <row r="42" spans="1:15" x14ac:dyDescent="0.3">
      <c r="A42">
        <v>41</v>
      </c>
      <c r="B42">
        <v>56</v>
      </c>
      <c r="C42" t="s">
        <v>14</v>
      </c>
      <c r="D42" t="s">
        <v>12</v>
      </c>
      <c r="E42" t="s">
        <v>13</v>
      </c>
      <c r="F42">
        <v>240</v>
      </c>
      <c r="G42">
        <v>4.7</v>
      </c>
      <c r="H42">
        <v>1464</v>
      </c>
      <c r="I42">
        <v>52</v>
      </c>
      <c r="J42">
        <v>708</v>
      </c>
      <c r="K42">
        <v>3</v>
      </c>
      <c r="L42" t="s">
        <v>37</v>
      </c>
      <c r="M42" s="2">
        <f t="shared" si="0"/>
        <v>311.48936170212767</v>
      </c>
      <c r="N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2" s="1">
        <f>F:F/I:I</f>
        <v>4.615384615384615</v>
      </c>
    </row>
    <row r="43" spans="1:15" x14ac:dyDescent="0.3">
      <c r="A43">
        <v>42</v>
      </c>
      <c r="B43">
        <v>33</v>
      </c>
      <c r="C43" t="s">
        <v>11</v>
      </c>
      <c r="D43" t="s">
        <v>17</v>
      </c>
      <c r="E43" t="s">
        <v>13</v>
      </c>
      <c r="F43">
        <v>576</v>
      </c>
      <c r="G43">
        <v>10.1</v>
      </c>
      <c r="H43">
        <v>2447</v>
      </c>
      <c r="I43">
        <v>83</v>
      </c>
      <c r="J43">
        <v>2323</v>
      </c>
      <c r="K43">
        <v>5</v>
      </c>
      <c r="L43" t="s">
        <v>40</v>
      </c>
      <c r="M43" s="2">
        <f t="shared" si="0"/>
        <v>242.2772277227723</v>
      </c>
      <c r="N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3" s="1">
        <f>F:F/I:I</f>
        <v>6.9397590361445785</v>
      </c>
    </row>
    <row r="44" spans="1:15" x14ac:dyDescent="0.3">
      <c r="A44">
        <v>43</v>
      </c>
      <c r="B44">
        <v>43</v>
      </c>
      <c r="C44" t="s">
        <v>11</v>
      </c>
      <c r="D44" t="s">
        <v>16</v>
      </c>
      <c r="E44" t="s">
        <v>13</v>
      </c>
      <c r="F44">
        <v>120</v>
      </c>
      <c r="G44">
        <v>2.1</v>
      </c>
      <c r="H44">
        <v>720</v>
      </c>
      <c r="I44">
        <v>39</v>
      </c>
      <c r="J44">
        <v>392</v>
      </c>
      <c r="K44">
        <v>2</v>
      </c>
      <c r="L44" t="s">
        <v>34</v>
      </c>
      <c r="M44" s="2">
        <f t="shared" si="0"/>
        <v>342.85714285714283</v>
      </c>
      <c r="N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4" s="1">
        <f>F:F/I:I</f>
        <v>3.0769230769230771</v>
      </c>
    </row>
    <row r="45" spans="1:15" x14ac:dyDescent="0.3">
      <c r="A45">
        <v>44</v>
      </c>
      <c r="B45">
        <v>18</v>
      </c>
      <c r="C45" t="s">
        <v>11</v>
      </c>
      <c r="D45" t="s">
        <v>16</v>
      </c>
      <c r="E45" t="s">
        <v>13</v>
      </c>
      <c r="F45">
        <v>152</v>
      </c>
      <c r="G45">
        <v>3.7</v>
      </c>
      <c r="H45">
        <v>993</v>
      </c>
      <c r="I45">
        <v>32</v>
      </c>
      <c r="J45">
        <v>429</v>
      </c>
      <c r="K45">
        <v>2</v>
      </c>
      <c r="L45" t="s">
        <v>42</v>
      </c>
      <c r="M45" s="2">
        <f t="shared" si="0"/>
        <v>268.37837837837839</v>
      </c>
      <c r="N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45" s="1">
        <f>F:F/I:I</f>
        <v>4.75</v>
      </c>
    </row>
    <row r="46" spans="1:15" x14ac:dyDescent="0.3">
      <c r="A46">
        <v>45</v>
      </c>
      <c r="B46">
        <v>56</v>
      </c>
      <c r="C46" t="s">
        <v>14</v>
      </c>
      <c r="D46" t="s">
        <v>12</v>
      </c>
      <c r="E46" t="s">
        <v>13</v>
      </c>
      <c r="F46">
        <v>138</v>
      </c>
      <c r="G46">
        <v>2.4</v>
      </c>
      <c r="H46">
        <v>837</v>
      </c>
      <c r="I46">
        <v>21</v>
      </c>
      <c r="J46">
        <v>572</v>
      </c>
      <c r="K46">
        <v>2</v>
      </c>
      <c r="L46" t="s">
        <v>37</v>
      </c>
      <c r="M46" s="2">
        <f t="shared" si="0"/>
        <v>348.75</v>
      </c>
      <c r="N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6" s="1">
        <f>F:F/I:I</f>
        <v>6.5714285714285712</v>
      </c>
    </row>
    <row r="47" spans="1:15" x14ac:dyDescent="0.3">
      <c r="A47">
        <v>46</v>
      </c>
      <c r="B47">
        <v>39</v>
      </c>
      <c r="C47" t="s">
        <v>11</v>
      </c>
      <c r="D47" t="s">
        <v>12</v>
      </c>
      <c r="E47" t="s">
        <v>13</v>
      </c>
      <c r="F47">
        <v>502</v>
      </c>
      <c r="G47">
        <v>10.9</v>
      </c>
      <c r="H47">
        <v>2476</v>
      </c>
      <c r="I47">
        <v>96</v>
      </c>
      <c r="J47">
        <v>1935</v>
      </c>
      <c r="K47">
        <v>5</v>
      </c>
      <c r="L47" t="s">
        <v>35</v>
      </c>
      <c r="M47" s="2">
        <f t="shared" si="0"/>
        <v>227.1559633027523</v>
      </c>
      <c r="N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7" s="1">
        <f>F:F/I:I</f>
        <v>5.229166666666667</v>
      </c>
    </row>
    <row r="48" spans="1:15" x14ac:dyDescent="0.3">
      <c r="A48">
        <v>47</v>
      </c>
      <c r="B48">
        <v>22</v>
      </c>
      <c r="C48" t="s">
        <v>14</v>
      </c>
      <c r="D48" t="s">
        <v>17</v>
      </c>
      <c r="E48" t="s">
        <v>13</v>
      </c>
      <c r="F48">
        <v>558</v>
      </c>
      <c r="G48">
        <v>8.4</v>
      </c>
      <c r="H48">
        <v>2447</v>
      </c>
      <c r="I48">
        <v>97</v>
      </c>
      <c r="J48">
        <v>1594</v>
      </c>
      <c r="K48">
        <v>5</v>
      </c>
      <c r="L48" t="s">
        <v>39</v>
      </c>
      <c r="M48" s="2">
        <f t="shared" si="0"/>
        <v>291.3095238095238</v>
      </c>
      <c r="N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8" s="1">
        <f>F:F/I:I</f>
        <v>5.7525773195876289</v>
      </c>
    </row>
    <row r="49" spans="1:15" x14ac:dyDescent="0.3">
      <c r="A49">
        <v>48</v>
      </c>
      <c r="B49">
        <v>27</v>
      </c>
      <c r="C49" t="s">
        <v>14</v>
      </c>
      <c r="D49" t="s">
        <v>16</v>
      </c>
      <c r="E49" t="s">
        <v>13</v>
      </c>
      <c r="F49">
        <v>138</v>
      </c>
      <c r="G49">
        <v>3.6</v>
      </c>
      <c r="H49">
        <v>889</v>
      </c>
      <c r="I49">
        <v>25</v>
      </c>
      <c r="J49">
        <v>323</v>
      </c>
      <c r="K49">
        <v>2</v>
      </c>
      <c r="L49" t="s">
        <v>36</v>
      </c>
      <c r="M49" s="2">
        <f t="shared" si="0"/>
        <v>246.94444444444443</v>
      </c>
      <c r="N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9" s="1">
        <f>F:F/I:I</f>
        <v>5.52</v>
      </c>
    </row>
    <row r="50" spans="1:15" x14ac:dyDescent="0.3">
      <c r="A50">
        <v>49</v>
      </c>
      <c r="B50">
        <v>49</v>
      </c>
      <c r="C50" t="s">
        <v>11</v>
      </c>
      <c r="D50" t="s">
        <v>15</v>
      </c>
      <c r="E50" t="s">
        <v>13</v>
      </c>
      <c r="F50">
        <v>580</v>
      </c>
      <c r="G50">
        <v>8.1999999999999993</v>
      </c>
      <c r="H50">
        <v>2623</v>
      </c>
      <c r="I50">
        <v>90</v>
      </c>
      <c r="J50">
        <v>2262</v>
      </c>
      <c r="K50">
        <v>5</v>
      </c>
      <c r="L50" t="s">
        <v>41</v>
      </c>
      <c r="M50" s="2">
        <f t="shared" si="0"/>
        <v>319.87804878048786</v>
      </c>
      <c r="N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0" s="1">
        <f>F:F/I:I</f>
        <v>6.4444444444444446</v>
      </c>
    </row>
    <row r="51" spans="1:15" x14ac:dyDescent="0.3">
      <c r="A51">
        <v>50</v>
      </c>
      <c r="B51">
        <v>49</v>
      </c>
      <c r="C51" t="s">
        <v>11</v>
      </c>
      <c r="D51" t="s">
        <v>17</v>
      </c>
      <c r="E51" t="s">
        <v>13</v>
      </c>
      <c r="F51">
        <v>589</v>
      </c>
      <c r="G51">
        <v>8.6999999999999993</v>
      </c>
      <c r="H51">
        <v>2736</v>
      </c>
      <c r="I51">
        <v>82</v>
      </c>
      <c r="J51">
        <v>1997</v>
      </c>
      <c r="K51">
        <v>5</v>
      </c>
      <c r="L51" t="s">
        <v>41</v>
      </c>
      <c r="M51" s="2">
        <f t="shared" si="0"/>
        <v>314.48275862068971</v>
      </c>
      <c r="N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1" s="1">
        <f>F:F/I:I</f>
        <v>7.1829268292682924</v>
      </c>
    </row>
    <row r="52" spans="1:15" x14ac:dyDescent="0.3">
      <c r="A52">
        <v>51</v>
      </c>
      <c r="B52">
        <v>54</v>
      </c>
      <c r="C52" t="s">
        <v>14</v>
      </c>
      <c r="D52" t="s">
        <v>12</v>
      </c>
      <c r="E52" t="s">
        <v>13</v>
      </c>
      <c r="F52">
        <v>452</v>
      </c>
      <c r="G52">
        <v>7.4</v>
      </c>
      <c r="H52">
        <v>2180</v>
      </c>
      <c r="I52">
        <v>61</v>
      </c>
      <c r="J52">
        <v>1417</v>
      </c>
      <c r="K52">
        <v>4</v>
      </c>
      <c r="L52" t="s">
        <v>38</v>
      </c>
      <c r="M52" s="2">
        <f t="shared" si="0"/>
        <v>294.59459459459458</v>
      </c>
      <c r="N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2" s="1">
        <f>F:F/I:I</f>
        <v>7.4098360655737707</v>
      </c>
    </row>
    <row r="53" spans="1:15" x14ac:dyDescent="0.3">
      <c r="A53">
        <v>52</v>
      </c>
      <c r="B53">
        <v>29</v>
      </c>
      <c r="C53" t="s">
        <v>11</v>
      </c>
      <c r="D53" t="s">
        <v>12</v>
      </c>
      <c r="E53" t="s">
        <v>13</v>
      </c>
      <c r="F53">
        <v>245</v>
      </c>
      <c r="G53">
        <v>5.9</v>
      </c>
      <c r="H53">
        <v>1243</v>
      </c>
      <c r="I53">
        <v>52</v>
      </c>
      <c r="J53">
        <v>885</v>
      </c>
      <c r="K53">
        <v>3</v>
      </c>
      <c r="L53" t="s">
        <v>36</v>
      </c>
      <c r="M53" s="2">
        <f t="shared" si="0"/>
        <v>210.67796610169489</v>
      </c>
      <c r="N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3" s="1">
        <f>F:F/I:I</f>
        <v>4.7115384615384617</v>
      </c>
    </row>
    <row r="54" spans="1:15" x14ac:dyDescent="0.3">
      <c r="A54">
        <v>53</v>
      </c>
      <c r="B54">
        <v>27</v>
      </c>
      <c r="C54" t="s">
        <v>14</v>
      </c>
      <c r="D54" t="s">
        <v>16</v>
      </c>
      <c r="E54" t="s">
        <v>13</v>
      </c>
      <c r="F54">
        <v>125</v>
      </c>
      <c r="G54">
        <v>2.7</v>
      </c>
      <c r="H54">
        <v>690</v>
      </c>
      <c r="I54">
        <v>28</v>
      </c>
      <c r="J54">
        <v>393</v>
      </c>
      <c r="K54">
        <v>2</v>
      </c>
      <c r="L54" t="s">
        <v>36</v>
      </c>
      <c r="M54" s="2">
        <f t="shared" si="0"/>
        <v>255.55555555555554</v>
      </c>
      <c r="N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4" s="1">
        <f>F:F/I:I</f>
        <v>4.4642857142857144</v>
      </c>
    </row>
    <row r="55" spans="1:15" x14ac:dyDescent="0.3">
      <c r="A55">
        <v>54</v>
      </c>
      <c r="B55">
        <v>53</v>
      </c>
      <c r="C55" t="s">
        <v>11</v>
      </c>
      <c r="D55" t="s">
        <v>12</v>
      </c>
      <c r="E55" t="s">
        <v>13</v>
      </c>
      <c r="F55">
        <v>97</v>
      </c>
      <c r="G55">
        <v>2.2000000000000002</v>
      </c>
      <c r="H55">
        <v>1101</v>
      </c>
      <c r="I55">
        <v>38</v>
      </c>
      <c r="J55">
        <v>375</v>
      </c>
      <c r="K55">
        <v>2</v>
      </c>
      <c r="L55" t="s">
        <v>38</v>
      </c>
      <c r="M55" s="2">
        <f t="shared" si="0"/>
        <v>500.45454545454544</v>
      </c>
      <c r="N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5" s="1">
        <f>F:F/I:I</f>
        <v>2.5526315789473686</v>
      </c>
    </row>
    <row r="56" spans="1:15" x14ac:dyDescent="0.3">
      <c r="A56">
        <v>55</v>
      </c>
      <c r="B56">
        <v>53</v>
      </c>
      <c r="C56" t="s">
        <v>14</v>
      </c>
      <c r="D56" t="s">
        <v>15</v>
      </c>
      <c r="E56" t="s">
        <v>13</v>
      </c>
      <c r="F56">
        <v>516</v>
      </c>
      <c r="G56">
        <v>8.6999999999999993</v>
      </c>
      <c r="H56">
        <v>2857</v>
      </c>
      <c r="I56">
        <v>83</v>
      </c>
      <c r="J56">
        <v>2189</v>
      </c>
      <c r="K56">
        <v>5</v>
      </c>
      <c r="L56" t="s">
        <v>38</v>
      </c>
      <c r="M56" s="2">
        <f t="shared" si="0"/>
        <v>328.39080459770116</v>
      </c>
      <c r="N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6" s="1">
        <f>F:F/I:I</f>
        <v>6.2168674698795181</v>
      </c>
    </row>
    <row r="57" spans="1:15" x14ac:dyDescent="0.3">
      <c r="A57">
        <v>56</v>
      </c>
      <c r="B57">
        <v>30</v>
      </c>
      <c r="C57" t="s">
        <v>11</v>
      </c>
      <c r="D57" t="s">
        <v>18</v>
      </c>
      <c r="E57" t="s">
        <v>19</v>
      </c>
      <c r="F57">
        <v>68</v>
      </c>
      <c r="G57">
        <v>1.6</v>
      </c>
      <c r="H57">
        <v>450</v>
      </c>
      <c r="I57">
        <v>14</v>
      </c>
      <c r="J57">
        <v>111</v>
      </c>
      <c r="K57">
        <v>1</v>
      </c>
      <c r="L57" t="s">
        <v>40</v>
      </c>
      <c r="M57" s="2">
        <f t="shared" si="0"/>
        <v>281.25</v>
      </c>
      <c r="N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7" s="1">
        <f>F:F/I:I</f>
        <v>4.8571428571428568</v>
      </c>
    </row>
    <row r="58" spans="1:15" x14ac:dyDescent="0.3">
      <c r="A58">
        <v>57</v>
      </c>
      <c r="B58">
        <v>42</v>
      </c>
      <c r="C58" t="s">
        <v>14</v>
      </c>
      <c r="D58" t="s">
        <v>17</v>
      </c>
      <c r="E58" t="s">
        <v>13</v>
      </c>
      <c r="F58">
        <v>64</v>
      </c>
      <c r="G58">
        <v>1.1000000000000001</v>
      </c>
      <c r="H58">
        <v>572</v>
      </c>
      <c r="I58">
        <v>10</v>
      </c>
      <c r="J58">
        <v>161</v>
      </c>
      <c r="K58">
        <v>1</v>
      </c>
      <c r="L58" t="s">
        <v>34</v>
      </c>
      <c r="M58" s="2">
        <f t="shared" si="0"/>
        <v>520</v>
      </c>
      <c r="N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8" s="1">
        <f>F:F/I:I</f>
        <v>6.4</v>
      </c>
    </row>
    <row r="59" spans="1:15" x14ac:dyDescent="0.3">
      <c r="A59">
        <v>58</v>
      </c>
      <c r="B59">
        <v>26</v>
      </c>
      <c r="C59" t="s">
        <v>11</v>
      </c>
      <c r="D59" t="s">
        <v>17</v>
      </c>
      <c r="E59" t="s">
        <v>13</v>
      </c>
      <c r="F59">
        <v>539</v>
      </c>
      <c r="G59">
        <v>8.4</v>
      </c>
      <c r="H59">
        <v>2796</v>
      </c>
      <c r="I59">
        <v>89</v>
      </c>
      <c r="J59">
        <v>2415</v>
      </c>
      <c r="K59">
        <v>5</v>
      </c>
      <c r="L59" t="s">
        <v>36</v>
      </c>
      <c r="M59" s="2">
        <f t="shared" si="0"/>
        <v>332.85714285714283</v>
      </c>
      <c r="N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9" s="1">
        <f>F:F/I:I</f>
        <v>6.0561797752808992</v>
      </c>
    </row>
    <row r="60" spans="1:15" x14ac:dyDescent="0.3">
      <c r="A60">
        <v>59</v>
      </c>
      <c r="B60">
        <v>22</v>
      </c>
      <c r="C60" t="s">
        <v>11</v>
      </c>
      <c r="D60" t="s">
        <v>12</v>
      </c>
      <c r="E60" t="s">
        <v>13</v>
      </c>
      <c r="F60">
        <v>428</v>
      </c>
      <c r="G60">
        <v>7</v>
      </c>
      <c r="H60">
        <v>2306</v>
      </c>
      <c r="I60">
        <v>75</v>
      </c>
      <c r="J60">
        <v>1144</v>
      </c>
      <c r="K60">
        <v>4</v>
      </c>
      <c r="L60" t="s">
        <v>39</v>
      </c>
      <c r="M60" s="2">
        <f t="shared" si="0"/>
        <v>329.42857142857144</v>
      </c>
      <c r="N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0" s="1">
        <f>F:F/I:I</f>
        <v>5.706666666666667</v>
      </c>
    </row>
    <row r="61" spans="1:15" x14ac:dyDescent="0.3">
      <c r="A61">
        <v>60</v>
      </c>
      <c r="B61">
        <v>56</v>
      </c>
      <c r="C61" t="s">
        <v>11</v>
      </c>
      <c r="D61" t="s">
        <v>18</v>
      </c>
      <c r="E61" t="s">
        <v>19</v>
      </c>
      <c r="F61">
        <v>325</v>
      </c>
      <c r="G61">
        <v>7.1</v>
      </c>
      <c r="H61">
        <v>2269</v>
      </c>
      <c r="I61">
        <v>64</v>
      </c>
      <c r="J61">
        <v>1053</v>
      </c>
      <c r="K61">
        <v>4</v>
      </c>
      <c r="L61" t="s">
        <v>37</v>
      </c>
      <c r="M61" s="2">
        <f t="shared" si="0"/>
        <v>319.57746478873241</v>
      </c>
      <c r="N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1" s="1">
        <f>F:F/I:I</f>
        <v>5.078125</v>
      </c>
    </row>
    <row r="62" spans="1:15" x14ac:dyDescent="0.3">
      <c r="A62">
        <v>61</v>
      </c>
      <c r="B62">
        <v>28</v>
      </c>
      <c r="C62" t="s">
        <v>14</v>
      </c>
      <c r="D62" t="s">
        <v>12</v>
      </c>
      <c r="E62" t="s">
        <v>13</v>
      </c>
      <c r="F62">
        <v>522</v>
      </c>
      <c r="G62">
        <v>11.9</v>
      </c>
      <c r="H62">
        <v>2798</v>
      </c>
      <c r="I62">
        <v>85</v>
      </c>
      <c r="J62">
        <v>1663</v>
      </c>
      <c r="K62">
        <v>5</v>
      </c>
      <c r="L62" t="s">
        <v>36</v>
      </c>
      <c r="M62" s="2">
        <f t="shared" si="0"/>
        <v>235.12605042016807</v>
      </c>
      <c r="N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2" s="1">
        <f>F:F/I:I</f>
        <v>6.1411764705882357</v>
      </c>
    </row>
    <row r="63" spans="1:15" x14ac:dyDescent="0.3">
      <c r="A63">
        <v>62</v>
      </c>
      <c r="B63">
        <v>57</v>
      </c>
      <c r="C63" t="s">
        <v>14</v>
      </c>
      <c r="D63" t="s">
        <v>12</v>
      </c>
      <c r="E63" t="s">
        <v>13</v>
      </c>
      <c r="F63">
        <v>309</v>
      </c>
      <c r="G63">
        <v>7.5</v>
      </c>
      <c r="H63">
        <v>2292</v>
      </c>
      <c r="I63">
        <v>77</v>
      </c>
      <c r="J63">
        <v>1253</v>
      </c>
      <c r="K63">
        <v>4</v>
      </c>
      <c r="L63" t="s">
        <v>37</v>
      </c>
      <c r="M63" s="2">
        <f t="shared" si="0"/>
        <v>305.60000000000002</v>
      </c>
      <c r="N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3" s="1">
        <f>F:F/I:I</f>
        <v>4.0129870129870131</v>
      </c>
    </row>
    <row r="64" spans="1:15" x14ac:dyDescent="0.3">
      <c r="A64">
        <v>63</v>
      </c>
      <c r="B64">
        <v>55</v>
      </c>
      <c r="C64" t="s">
        <v>11</v>
      </c>
      <c r="D64" t="s">
        <v>12</v>
      </c>
      <c r="E64" t="s">
        <v>13</v>
      </c>
      <c r="F64">
        <v>79</v>
      </c>
      <c r="G64">
        <v>1.9</v>
      </c>
      <c r="H64">
        <v>493</v>
      </c>
      <c r="I64">
        <v>14</v>
      </c>
      <c r="J64">
        <v>128</v>
      </c>
      <c r="K64">
        <v>1</v>
      </c>
      <c r="L64" t="s">
        <v>37</v>
      </c>
      <c r="M64" s="2">
        <f t="shared" si="0"/>
        <v>259.4736842105263</v>
      </c>
      <c r="N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4" s="1">
        <f>F:F/I:I</f>
        <v>5.6428571428571432</v>
      </c>
    </row>
    <row r="65" spans="1:15" x14ac:dyDescent="0.3">
      <c r="A65">
        <v>64</v>
      </c>
      <c r="B65">
        <v>21</v>
      </c>
      <c r="C65" t="s">
        <v>14</v>
      </c>
      <c r="D65" t="s">
        <v>12</v>
      </c>
      <c r="E65" t="s">
        <v>13</v>
      </c>
      <c r="F65">
        <v>545</v>
      </c>
      <c r="G65">
        <v>11.5</v>
      </c>
      <c r="H65">
        <v>2911</v>
      </c>
      <c r="I65">
        <v>87</v>
      </c>
      <c r="J65">
        <v>1717</v>
      </c>
      <c r="K65">
        <v>5</v>
      </c>
      <c r="L65" t="s">
        <v>39</v>
      </c>
      <c r="M65" s="2">
        <f t="shared" si="0"/>
        <v>253.13043478260869</v>
      </c>
      <c r="N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5" s="1">
        <f>F:F/I:I</f>
        <v>6.264367816091954</v>
      </c>
    </row>
    <row r="66" spans="1:15" x14ac:dyDescent="0.3">
      <c r="A66">
        <v>65</v>
      </c>
      <c r="B66">
        <v>43</v>
      </c>
      <c r="C66" t="s">
        <v>11</v>
      </c>
      <c r="D66" t="s">
        <v>16</v>
      </c>
      <c r="E66" t="s">
        <v>13</v>
      </c>
      <c r="F66">
        <v>459</v>
      </c>
      <c r="G66">
        <v>7</v>
      </c>
      <c r="H66">
        <v>1982</v>
      </c>
      <c r="I66">
        <v>67</v>
      </c>
      <c r="J66">
        <v>1091</v>
      </c>
      <c r="K66">
        <v>4</v>
      </c>
      <c r="L66" t="s">
        <v>34</v>
      </c>
      <c r="M66" s="2">
        <f t="shared" ref="M66:M129" si="1">H:H/G:G</f>
        <v>283.14285714285717</v>
      </c>
      <c r="N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6" s="1">
        <f>F:F/I:I</f>
        <v>6.8507462686567164</v>
      </c>
    </row>
    <row r="67" spans="1:15" x14ac:dyDescent="0.3">
      <c r="A67">
        <v>66</v>
      </c>
      <c r="B67">
        <v>56</v>
      </c>
      <c r="C67" t="s">
        <v>11</v>
      </c>
      <c r="D67" t="s">
        <v>18</v>
      </c>
      <c r="E67" t="s">
        <v>19</v>
      </c>
      <c r="F67">
        <v>225</v>
      </c>
      <c r="G67">
        <v>4</v>
      </c>
      <c r="H67">
        <v>1420</v>
      </c>
      <c r="I67">
        <v>48</v>
      </c>
      <c r="J67">
        <v>917</v>
      </c>
      <c r="K67">
        <v>3</v>
      </c>
      <c r="L67" t="s">
        <v>37</v>
      </c>
      <c r="M67" s="2">
        <f t="shared" si="1"/>
        <v>355</v>
      </c>
      <c r="N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7" s="1">
        <f>F:F/I:I</f>
        <v>4.6875</v>
      </c>
    </row>
    <row r="68" spans="1:15" x14ac:dyDescent="0.3">
      <c r="A68">
        <v>67</v>
      </c>
      <c r="B68">
        <v>55</v>
      </c>
      <c r="C68" t="s">
        <v>11</v>
      </c>
      <c r="D68" t="s">
        <v>18</v>
      </c>
      <c r="E68" t="s">
        <v>19</v>
      </c>
      <c r="F68">
        <v>257</v>
      </c>
      <c r="G68">
        <v>4.5</v>
      </c>
      <c r="H68">
        <v>1705</v>
      </c>
      <c r="I68">
        <v>57</v>
      </c>
      <c r="J68">
        <v>912</v>
      </c>
      <c r="K68">
        <v>3</v>
      </c>
      <c r="L68" t="s">
        <v>37</v>
      </c>
      <c r="M68" s="2">
        <f t="shared" si="1"/>
        <v>378.88888888888891</v>
      </c>
      <c r="N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8" s="1">
        <f>F:F/I:I</f>
        <v>4.5087719298245617</v>
      </c>
    </row>
    <row r="69" spans="1:15" x14ac:dyDescent="0.3">
      <c r="A69">
        <v>68</v>
      </c>
      <c r="B69">
        <v>28</v>
      </c>
      <c r="C69" t="s">
        <v>14</v>
      </c>
      <c r="D69" t="s">
        <v>12</v>
      </c>
      <c r="E69" t="s">
        <v>13</v>
      </c>
      <c r="F69">
        <v>134</v>
      </c>
      <c r="G69">
        <v>4</v>
      </c>
      <c r="H69">
        <v>773</v>
      </c>
      <c r="I69">
        <v>35</v>
      </c>
      <c r="J69">
        <v>449</v>
      </c>
      <c r="K69">
        <v>2</v>
      </c>
      <c r="L69" t="s">
        <v>36</v>
      </c>
      <c r="M69" s="2">
        <f t="shared" si="1"/>
        <v>193.25</v>
      </c>
      <c r="N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9" s="1">
        <f>F:F/I:I</f>
        <v>3.8285714285714287</v>
      </c>
    </row>
    <row r="70" spans="1:15" x14ac:dyDescent="0.3">
      <c r="A70">
        <v>69</v>
      </c>
      <c r="B70">
        <v>31</v>
      </c>
      <c r="C70" t="s">
        <v>11</v>
      </c>
      <c r="D70" t="s">
        <v>18</v>
      </c>
      <c r="E70" t="s">
        <v>19</v>
      </c>
      <c r="F70">
        <v>516</v>
      </c>
      <c r="G70">
        <v>10.199999999999999</v>
      </c>
      <c r="H70">
        <v>2932</v>
      </c>
      <c r="I70">
        <v>98</v>
      </c>
      <c r="J70">
        <v>1547</v>
      </c>
      <c r="K70">
        <v>5</v>
      </c>
      <c r="L70" t="s">
        <v>40</v>
      </c>
      <c r="M70" s="2">
        <f t="shared" si="1"/>
        <v>287.45098039215691</v>
      </c>
      <c r="N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70" s="1">
        <f>F:F/I:I</f>
        <v>5.2653061224489797</v>
      </c>
    </row>
    <row r="71" spans="1:15" x14ac:dyDescent="0.3">
      <c r="A71">
        <v>70</v>
      </c>
      <c r="B71">
        <v>29</v>
      </c>
      <c r="C71" t="s">
        <v>14</v>
      </c>
      <c r="D71" t="s">
        <v>15</v>
      </c>
      <c r="E71" t="s">
        <v>13</v>
      </c>
      <c r="F71">
        <v>82</v>
      </c>
      <c r="G71">
        <v>1.7</v>
      </c>
      <c r="H71">
        <v>558</v>
      </c>
      <c r="I71">
        <v>16</v>
      </c>
      <c r="J71">
        <v>284</v>
      </c>
      <c r="K71">
        <v>1</v>
      </c>
      <c r="L71" t="s">
        <v>36</v>
      </c>
      <c r="M71" s="2">
        <f t="shared" si="1"/>
        <v>328.23529411764707</v>
      </c>
      <c r="N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71" s="1">
        <f>F:F/I:I</f>
        <v>5.125</v>
      </c>
    </row>
    <row r="72" spans="1:15" x14ac:dyDescent="0.3">
      <c r="A72">
        <v>71</v>
      </c>
      <c r="B72">
        <v>45</v>
      </c>
      <c r="C72" t="s">
        <v>14</v>
      </c>
      <c r="D72" t="s">
        <v>16</v>
      </c>
      <c r="E72" t="s">
        <v>13</v>
      </c>
      <c r="F72">
        <v>452</v>
      </c>
      <c r="G72">
        <v>7.2</v>
      </c>
      <c r="H72">
        <v>1808</v>
      </c>
      <c r="I72">
        <v>64</v>
      </c>
      <c r="J72">
        <v>1090</v>
      </c>
      <c r="K72">
        <v>4</v>
      </c>
      <c r="L72" t="s">
        <v>41</v>
      </c>
      <c r="M72" s="2">
        <f t="shared" si="1"/>
        <v>251.11111111111111</v>
      </c>
      <c r="N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72" s="1">
        <f>F:F/I:I</f>
        <v>7.0625</v>
      </c>
    </row>
    <row r="73" spans="1:15" x14ac:dyDescent="0.3">
      <c r="A73">
        <v>72</v>
      </c>
      <c r="B73">
        <v>37</v>
      </c>
      <c r="C73" t="s">
        <v>11</v>
      </c>
      <c r="D73" t="s">
        <v>18</v>
      </c>
      <c r="E73" t="s">
        <v>19</v>
      </c>
      <c r="F73">
        <v>521</v>
      </c>
      <c r="G73">
        <v>9</v>
      </c>
      <c r="H73">
        <v>2902</v>
      </c>
      <c r="I73">
        <v>97</v>
      </c>
      <c r="J73">
        <v>1701</v>
      </c>
      <c r="K73">
        <v>5</v>
      </c>
      <c r="L73" t="s">
        <v>35</v>
      </c>
      <c r="M73" s="2">
        <f t="shared" si="1"/>
        <v>322.44444444444446</v>
      </c>
      <c r="N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73" s="1">
        <f>F:F/I:I</f>
        <v>5.3711340206185563</v>
      </c>
    </row>
    <row r="74" spans="1:15" x14ac:dyDescent="0.3">
      <c r="A74">
        <v>73</v>
      </c>
      <c r="B74">
        <v>22</v>
      </c>
      <c r="C74" t="s">
        <v>11</v>
      </c>
      <c r="D74" t="s">
        <v>15</v>
      </c>
      <c r="E74" t="s">
        <v>13</v>
      </c>
      <c r="F74">
        <v>457</v>
      </c>
      <c r="G74">
        <v>6.3</v>
      </c>
      <c r="H74">
        <v>2347</v>
      </c>
      <c r="I74">
        <v>66</v>
      </c>
      <c r="J74">
        <v>1082</v>
      </c>
      <c r="K74">
        <v>4</v>
      </c>
      <c r="L74" t="s">
        <v>39</v>
      </c>
      <c r="M74" s="2">
        <f t="shared" si="1"/>
        <v>372.53968253968253</v>
      </c>
      <c r="N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74" s="1">
        <f>F:F/I:I</f>
        <v>6.9242424242424239</v>
      </c>
    </row>
    <row r="75" spans="1:15" x14ac:dyDescent="0.3">
      <c r="A75">
        <v>74</v>
      </c>
      <c r="B75">
        <v>50</v>
      </c>
      <c r="C75" t="s">
        <v>14</v>
      </c>
      <c r="D75" t="s">
        <v>12</v>
      </c>
      <c r="E75" t="s">
        <v>13</v>
      </c>
      <c r="F75">
        <v>31</v>
      </c>
      <c r="G75">
        <v>1.1000000000000001</v>
      </c>
      <c r="H75">
        <v>585</v>
      </c>
      <c r="I75">
        <v>11</v>
      </c>
      <c r="J75">
        <v>208</v>
      </c>
      <c r="K75">
        <v>1</v>
      </c>
      <c r="L75" t="s">
        <v>38</v>
      </c>
      <c r="M75" s="2">
        <f t="shared" si="1"/>
        <v>531.81818181818176</v>
      </c>
      <c r="N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75" s="1">
        <f>F:F/I:I</f>
        <v>2.8181818181818183</v>
      </c>
    </row>
    <row r="76" spans="1:15" x14ac:dyDescent="0.3">
      <c r="A76">
        <v>75</v>
      </c>
      <c r="B76">
        <v>39</v>
      </c>
      <c r="C76" t="s">
        <v>11</v>
      </c>
      <c r="D76" t="s">
        <v>18</v>
      </c>
      <c r="E76" t="s">
        <v>19</v>
      </c>
      <c r="F76">
        <v>47</v>
      </c>
      <c r="G76">
        <v>2</v>
      </c>
      <c r="H76">
        <v>476</v>
      </c>
      <c r="I76">
        <v>14</v>
      </c>
      <c r="J76">
        <v>125</v>
      </c>
      <c r="K76">
        <v>1</v>
      </c>
      <c r="L76" t="s">
        <v>35</v>
      </c>
      <c r="M76" s="2">
        <f t="shared" si="1"/>
        <v>238</v>
      </c>
      <c r="N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76" s="1">
        <f>F:F/I:I</f>
        <v>3.3571428571428572</v>
      </c>
    </row>
    <row r="77" spans="1:15" x14ac:dyDescent="0.3">
      <c r="A77">
        <v>76</v>
      </c>
      <c r="B77">
        <v>23</v>
      </c>
      <c r="C77" t="s">
        <v>14</v>
      </c>
      <c r="D77" t="s">
        <v>12</v>
      </c>
      <c r="E77" t="s">
        <v>13</v>
      </c>
      <c r="F77">
        <v>229</v>
      </c>
      <c r="G77">
        <v>5.7</v>
      </c>
      <c r="H77">
        <v>1305</v>
      </c>
      <c r="I77">
        <v>43</v>
      </c>
      <c r="J77">
        <v>985</v>
      </c>
      <c r="K77">
        <v>3</v>
      </c>
      <c r="L77" t="s">
        <v>39</v>
      </c>
      <c r="M77" s="2">
        <f t="shared" si="1"/>
        <v>228.94736842105263</v>
      </c>
      <c r="N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77" s="1">
        <f>F:F/I:I</f>
        <v>5.3255813953488369</v>
      </c>
    </row>
    <row r="78" spans="1:15" x14ac:dyDescent="0.3">
      <c r="A78">
        <v>77</v>
      </c>
      <c r="B78">
        <v>54</v>
      </c>
      <c r="C78" t="s">
        <v>14</v>
      </c>
      <c r="D78" t="s">
        <v>12</v>
      </c>
      <c r="E78" t="s">
        <v>13</v>
      </c>
      <c r="F78">
        <v>34</v>
      </c>
      <c r="G78">
        <v>2</v>
      </c>
      <c r="H78">
        <v>558</v>
      </c>
      <c r="I78">
        <v>14</v>
      </c>
      <c r="J78">
        <v>122</v>
      </c>
      <c r="K78">
        <v>1</v>
      </c>
      <c r="L78" t="s">
        <v>38</v>
      </c>
      <c r="M78" s="2">
        <f t="shared" si="1"/>
        <v>279</v>
      </c>
      <c r="N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78" s="1">
        <f>F:F/I:I</f>
        <v>2.4285714285714284</v>
      </c>
    </row>
    <row r="79" spans="1:15" x14ac:dyDescent="0.3">
      <c r="A79">
        <v>78</v>
      </c>
      <c r="B79">
        <v>30</v>
      </c>
      <c r="C79" t="s">
        <v>14</v>
      </c>
      <c r="D79" t="s">
        <v>15</v>
      </c>
      <c r="E79" t="s">
        <v>13</v>
      </c>
      <c r="F79">
        <v>173</v>
      </c>
      <c r="G79">
        <v>2.5</v>
      </c>
      <c r="H79">
        <v>678</v>
      </c>
      <c r="I79">
        <v>29</v>
      </c>
      <c r="J79">
        <v>301</v>
      </c>
      <c r="K79">
        <v>2</v>
      </c>
      <c r="L79" t="s">
        <v>40</v>
      </c>
      <c r="M79" s="2">
        <f t="shared" si="1"/>
        <v>271.2</v>
      </c>
      <c r="N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79" s="1">
        <f>F:F/I:I</f>
        <v>5.9655172413793105</v>
      </c>
    </row>
    <row r="80" spans="1:15" x14ac:dyDescent="0.3">
      <c r="A80">
        <v>79</v>
      </c>
      <c r="B80">
        <v>51</v>
      </c>
      <c r="C80" t="s">
        <v>14</v>
      </c>
      <c r="D80" t="s">
        <v>16</v>
      </c>
      <c r="E80" t="s">
        <v>13</v>
      </c>
      <c r="F80">
        <v>78</v>
      </c>
      <c r="G80">
        <v>1.8</v>
      </c>
      <c r="H80">
        <v>333</v>
      </c>
      <c r="I80">
        <v>17</v>
      </c>
      <c r="J80">
        <v>138</v>
      </c>
      <c r="K80">
        <v>1</v>
      </c>
      <c r="L80" t="s">
        <v>38</v>
      </c>
      <c r="M80" s="2">
        <f t="shared" si="1"/>
        <v>185</v>
      </c>
      <c r="N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80" s="1">
        <f>F:F/I:I</f>
        <v>4.5882352941176467</v>
      </c>
    </row>
    <row r="81" spans="1:15" x14ac:dyDescent="0.3">
      <c r="A81">
        <v>80</v>
      </c>
      <c r="B81">
        <v>34</v>
      </c>
      <c r="C81" t="s">
        <v>14</v>
      </c>
      <c r="D81" t="s">
        <v>15</v>
      </c>
      <c r="E81" t="s">
        <v>13</v>
      </c>
      <c r="F81">
        <v>230</v>
      </c>
      <c r="G81">
        <v>5.7</v>
      </c>
      <c r="H81">
        <v>1254</v>
      </c>
      <c r="I81">
        <v>52</v>
      </c>
      <c r="J81">
        <v>989</v>
      </c>
      <c r="K81">
        <v>3</v>
      </c>
      <c r="L81" t="s">
        <v>40</v>
      </c>
      <c r="M81" s="2">
        <f t="shared" si="1"/>
        <v>220</v>
      </c>
      <c r="N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81" s="1">
        <f>F:F/I:I</f>
        <v>4.4230769230769234</v>
      </c>
    </row>
    <row r="82" spans="1:15" x14ac:dyDescent="0.3">
      <c r="A82">
        <v>81</v>
      </c>
      <c r="B82">
        <v>51</v>
      </c>
      <c r="C82" t="s">
        <v>14</v>
      </c>
      <c r="D82" t="s">
        <v>17</v>
      </c>
      <c r="E82" t="s">
        <v>13</v>
      </c>
      <c r="F82">
        <v>565</v>
      </c>
      <c r="G82">
        <v>10.6</v>
      </c>
      <c r="H82">
        <v>2475</v>
      </c>
      <c r="I82">
        <v>99</v>
      </c>
      <c r="J82">
        <v>1603</v>
      </c>
      <c r="K82">
        <v>5</v>
      </c>
      <c r="L82" t="s">
        <v>38</v>
      </c>
      <c r="M82" s="2">
        <f t="shared" si="1"/>
        <v>233.49056603773585</v>
      </c>
      <c r="N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82" s="1">
        <f>F:F/I:I</f>
        <v>5.7070707070707067</v>
      </c>
    </row>
    <row r="83" spans="1:15" x14ac:dyDescent="0.3">
      <c r="A83">
        <v>82</v>
      </c>
      <c r="B83">
        <v>41</v>
      </c>
      <c r="C83" t="s">
        <v>11</v>
      </c>
      <c r="D83" t="s">
        <v>18</v>
      </c>
      <c r="E83" t="s">
        <v>19</v>
      </c>
      <c r="F83">
        <v>172</v>
      </c>
      <c r="G83">
        <v>2.8</v>
      </c>
      <c r="H83">
        <v>1035</v>
      </c>
      <c r="I83">
        <v>22</v>
      </c>
      <c r="J83">
        <v>549</v>
      </c>
      <c r="K83">
        <v>2</v>
      </c>
      <c r="L83" t="s">
        <v>34</v>
      </c>
      <c r="M83" s="2">
        <f t="shared" si="1"/>
        <v>369.64285714285717</v>
      </c>
      <c r="N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83" s="1">
        <f>F:F/I:I</f>
        <v>7.8181818181818183</v>
      </c>
    </row>
    <row r="84" spans="1:15" x14ac:dyDescent="0.3">
      <c r="A84">
        <v>83</v>
      </c>
      <c r="B84">
        <v>21</v>
      </c>
      <c r="C84" t="s">
        <v>14</v>
      </c>
      <c r="D84" t="s">
        <v>12</v>
      </c>
      <c r="E84" t="s">
        <v>13</v>
      </c>
      <c r="F84">
        <v>330</v>
      </c>
      <c r="G84">
        <v>7.2</v>
      </c>
      <c r="H84">
        <v>2363</v>
      </c>
      <c r="I84">
        <v>77</v>
      </c>
      <c r="J84">
        <v>1133</v>
      </c>
      <c r="K84">
        <v>4</v>
      </c>
      <c r="L84" t="s">
        <v>39</v>
      </c>
      <c r="M84" s="2">
        <f t="shared" si="1"/>
        <v>328.19444444444446</v>
      </c>
      <c r="N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84" s="1">
        <f>F:F/I:I</f>
        <v>4.2857142857142856</v>
      </c>
    </row>
    <row r="85" spans="1:15" x14ac:dyDescent="0.3">
      <c r="A85">
        <v>84</v>
      </c>
      <c r="B85">
        <v>19</v>
      </c>
      <c r="C85" t="s">
        <v>11</v>
      </c>
      <c r="D85" t="s">
        <v>12</v>
      </c>
      <c r="E85" t="s">
        <v>13</v>
      </c>
      <c r="F85">
        <v>39</v>
      </c>
      <c r="G85">
        <v>1.8</v>
      </c>
      <c r="H85">
        <v>368</v>
      </c>
      <c r="I85">
        <v>11</v>
      </c>
      <c r="J85">
        <v>105</v>
      </c>
      <c r="K85">
        <v>1</v>
      </c>
      <c r="L85" t="s">
        <v>42</v>
      </c>
      <c r="M85" s="2">
        <f t="shared" si="1"/>
        <v>204.44444444444443</v>
      </c>
      <c r="N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85" s="1">
        <f>F:F/I:I</f>
        <v>3.5454545454545454</v>
      </c>
    </row>
    <row r="86" spans="1:15" x14ac:dyDescent="0.3">
      <c r="A86">
        <v>85</v>
      </c>
      <c r="B86">
        <v>33</v>
      </c>
      <c r="C86" t="s">
        <v>14</v>
      </c>
      <c r="D86" t="s">
        <v>15</v>
      </c>
      <c r="E86" t="s">
        <v>13</v>
      </c>
      <c r="F86">
        <v>223</v>
      </c>
      <c r="G86">
        <v>4.5</v>
      </c>
      <c r="H86">
        <v>1311</v>
      </c>
      <c r="I86">
        <v>56</v>
      </c>
      <c r="J86">
        <v>695</v>
      </c>
      <c r="K86">
        <v>3</v>
      </c>
      <c r="L86" t="s">
        <v>40</v>
      </c>
      <c r="M86" s="2">
        <f t="shared" si="1"/>
        <v>291.33333333333331</v>
      </c>
      <c r="N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86" s="1">
        <f>F:F/I:I</f>
        <v>3.9821428571428572</v>
      </c>
    </row>
    <row r="87" spans="1:15" x14ac:dyDescent="0.3">
      <c r="A87">
        <v>86</v>
      </c>
      <c r="B87">
        <v>44</v>
      </c>
      <c r="C87" t="s">
        <v>11</v>
      </c>
      <c r="D87" t="s">
        <v>15</v>
      </c>
      <c r="E87" t="s">
        <v>13</v>
      </c>
      <c r="F87">
        <v>404</v>
      </c>
      <c r="G87">
        <v>7.4</v>
      </c>
      <c r="H87">
        <v>2081</v>
      </c>
      <c r="I87">
        <v>63</v>
      </c>
      <c r="J87">
        <v>1352</v>
      </c>
      <c r="K87">
        <v>4</v>
      </c>
      <c r="L87" t="s">
        <v>34</v>
      </c>
      <c r="M87" s="2">
        <f t="shared" si="1"/>
        <v>281.2162162162162</v>
      </c>
      <c r="N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87" s="1">
        <f>F:F/I:I</f>
        <v>6.412698412698413</v>
      </c>
    </row>
    <row r="88" spans="1:15" x14ac:dyDescent="0.3">
      <c r="A88">
        <v>87</v>
      </c>
      <c r="B88">
        <v>39</v>
      </c>
      <c r="C88" t="s">
        <v>11</v>
      </c>
      <c r="D88" t="s">
        <v>16</v>
      </c>
      <c r="E88" t="s">
        <v>13</v>
      </c>
      <c r="F88">
        <v>151</v>
      </c>
      <c r="G88">
        <v>2.4</v>
      </c>
      <c r="H88">
        <v>1003</v>
      </c>
      <c r="I88">
        <v>25</v>
      </c>
      <c r="J88">
        <v>392</v>
      </c>
      <c r="K88">
        <v>2</v>
      </c>
      <c r="L88" t="s">
        <v>35</v>
      </c>
      <c r="M88" s="2">
        <f t="shared" si="1"/>
        <v>417.91666666666669</v>
      </c>
      <c r="N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88" s="1">
        <f>F:F/I:I</f>
        <v>6.04</v>
      </c>
    </row>
    <row r="89" spans="1:15" x14ac:dyDescent="0.3">
      <c r="A89">
        <v>88</v>
      </c>
      <c r="B89">
        <v>44</v>
      </c>
      <c r="C89" t="s">
        <v>11</v>
      </c>
      <c r="D89" t="s">
        <v>16</v>
      </c>
      <c r="E89" t="s">
        <v>13</v>
      </c>
      <c r="F89">
        <v>34</v>
      </c>
      <c r="G89">
        <v>1.5</v>
      </c>
      <c r="H89">
        <v>345</v>
      </c>
      <c r="I89">
        <v>11</v>
      </c>
      <c r="J89">
        <v>276</v>
      </c>
      <c r="K89">
        <v>1</v>
      </c>
      <c r="L89" t="s">
        <v>34</v>
      </c>
      <c r="M89" s="2">
        <f t="shared" si="1"/>
        <v>230</v>
      </c>
      <c r="N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89" s="1">
        <f>F:F/I:I</f>
        <v>3.0909090909090908</v>
      </c>
    </row>
    <row r="90" spans="1:15" x14ac:dyDescent="0.3">
      <c r="A90">
        <v>89</v>
      </c>
      <c r="B90">
        <v>34</v>
      </c>
      <c r="C90" t="s">
        <v>14</v>
      </c>
      <c r="D90" t="s">
        <v>12</v>
      </c>
      <c r="E90" t="s">
        <v>13</v>
      </c>
      <c r="F90">
        <v>137</v>
      </c>
      <c r="G90">
        <v>3.3</v>
      </c>
      <c r="H90">
        <v>839</v>
      </c>
      <c r="I90">
        <v>31</v>
      </c>
      <c r="J90">
        <v>348</v>
      </c>
      <c r="K90">
        <v>2</v>
      </c>
      <c r="L90" t="s">
        <v>40</v>
      </c>
      <c r="M90" s="2">
        <f t="shared" si="1"/>
        <v>254.24242424242425</v>
      </c>
      <c r="N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90" s="1">
        <f>F:F/I:I</f>
        <v>4.419354838709677</v>
      </c>
    </row>
    <row r="91" spans="1:15" x14ac:dyDescent="0.3">
      <c r="A91">
        <v>90</v>
      </c>
      <c r="B91">
        <v>45</v>
      </c>
      <c r="C91" t="s">
        <v>11</v>
      </c>
      <c r="D91" t="s">
        <v>16</v>
      </c>
      <c r="E91" t="s">
        <v>13</v>
      </c>
      <c r="F91">
        <v>301</v>
      </c>
      <c r="G91">
        <v>6.2</v>
      </c>
      <c r="H91">
        <v>2053</v>
      </c>
      <c r="I91">
        <v>75</v>
      </c>
      <c r="J91">
        <v>1303</v>
      </c>
      <c r="K91">
        <v>4</v>
      </c>
      <c r="L91" t="s">
        <v>41</v>
      </c>
      <c r="M91" s="2">
        <f t="shared" si="1"/>
        <v>331.12903225806451</v>
      </c>
      <c r="N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91" s="1">
        <f>F:F/I:I</f>
        <v>4.0133333333333336</v>
      </c>
    </row>
    <row r="92" spans="1:15" x14ac:dyDescent="0.3">
      <c r="A92">
        <v>91</v>
      </c>
      <c r="B92">
        <v>40</v>
      </c>
      <c r="C92" t="s">
        <v>14</v>
      </c>
      <c r="D92" t="s">
        <v>15</v>
      </c>
      <c r="E92" t="s">
        <v>13</v>
      </c>
      <c r="F92">
        <v>116</v>
      </c>
      <c r="G92">
        <v>2.1</v>
      </c>
      <c r="H92">
        <v>912</v>
      </c>
      <c r="I92">
        <v>39</v>
      </c>
      <c r="J92">
        <v>307</v>
      </c>
      <c r="K92">
        <v>2</v>
      </c>
      <c r="L92" t="s">
        <v>34</v>
      </c>
      <c r="M92" s="2">
        <f t="shared" si="1"/>
        <v>434.28571428571428</v>
      </c>
      <c r="N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92" s="1">
        <f>F:F/I:I</f>
        <v>2.9743589743589745</v>
      </c>
    </row>
    <row r="93" spans="1:15" x14ac:dyDescent="0.3">
      <c r="A93">
        <v>92</v>
      </c>
      <c r="B93">
        <v>32</v>
      </c>
      <c r="C93" t="s">
        <v>14</v>
      </c>
      <c r="D93" t="s">
        <v>15</v>
      </c>
      <c r="E93" t="s">
        <v>13</v>
      </c>
      <c r="F93">
        <v>291</v>
      </c>
      <c r="G93">
        <v>4.0999999999999996</v>
      </c>
      <c r="H93">
        <v>1474</v>
      </c>
      <c r="I93">
        <v>46</v>
      </c>
      <c r="J93">
        <v>827</v>
      </c>
      <c r="K93">
        <v>3</v>
      </c>
      <c r="L93" t="s">
        <v>40</v>
      </c>
      <c r="M93" s="2">
        <f t="shared" si="1"/>
        <v>359.51219512195127</v>
      </c>
      <c r="N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93" s="1">
        <f>F:F/I:I</f>
        <v>6.3260869565217392</v>
      </c>
    </row>
    <row r="94" spans="1:15" x14ac:dyDescent="0.3">
      <c r="A94">
        <v>93</v>
      </c>
      <c r="B94">
        <v>56</v>
      </c>
      <c r="C94" t="s">
        <v>14</v>
      </c>
      <c r="D94" t="s">
        <v>18</v>
      </c>
      <c r="E94" t="s">
        <v>19</v>
      </c>
      <c r="F94">
        <v>84</v>
      </c>
      <c r="G94">
        <v>1.4</v>
      </c>
      <c r="H94">
        <v>501</v>
      </c>
      <c r="I94">
        <v>16</v>
      </c>
      <c r="J94">
        <v>284</v>
      </c>
      <c r="K94">
        <v>1</v>
      </c>
      <c r="L94" t="s">
        <v>37</v>
      </c>
      <c r="M94" s="2">
        <f t="shared" si="1"/>
        <v>357.85714285714289</v>
      </c>
      <c r="N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94" s="1">
        <f>F:F/I:I</f>
        <v>5.25</v>
      </c>
    </row>
    <row r="95" spans="1:15" x14ac:dyDescent="0.3">
      <c r="A95">
        <v>94</v>
      </c>
      <c r="B95">
        <v>35</v>
      </c>
      <c r="C95" t="s">
        <v>11</v>
      </c>
      <c r="D95" t="s">
        <v>18</v>
      </c>
      <c r="E95" t="s">
        <v>19</v>
      </c>
      <c r="F95">
        <v>134</v>
      </c>
      <c r="G95">
        <v>2.5</v>
      </c>
      <c r="H95">
        <v>1125</v>
      </c>
      <c r="I95">
        <v>24</v>
      </c>
      <c r="J95">
        <v>367</v>
      </c>
      <c r="K95">
        <v>2</v>
      </c>
      <c r="L95" t="s">
        <v>35</v>
      </c>
      <c r="M95" s="2">
        <f t="shared" si="1"/>
        <v>450</v>
      </c>
      <c r="N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95" s="1">
        <f>F:F/I:I</f>
        <v>5.583333333333333</v>
      </c>
    </row>
    <row r="96" spans="1:15" x14ac:dyDescent="0.3">
      <c r="A96">
        <v>95</v>
      </c>
      <c r="B96">
        <v>58</v>
      </c>
      <c r="C96" t="s">
        <v>11</v>
      </c>
      <c r="D96" t="s">
        <v>16</v>
      </c>
      <c r="E96" t="s">
        <v>13</v>
      </c>
      <c r="F96">
        <v>411</v>
      </c>
      <c r="G96">
        <v>7.5</v>
      </c>
      <c r="H96">
        <v>2169</v>
      </c>
      <c r="I96">
        <v>72</v>
      </c>
      <c r="J96">
        <v>1083</v>
      </c>
      <c r="K96">
        <v>4</v>
      </c>
      <c r="L96" t="s">
        <v>37</v>
      </c>
      <c r="M96" s="2">
        <f t="shared" si="1"/>
        <v>289.2</v>
      </c>
      <c r="N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96" s="1">
        <f>F:F/I:I</f>
        <v>5.708333333333333</v>
      </c>
    </row>
    <row r="97" spans="1:15" x14ac:dyDescent="0.3">
      <c r="A97">
        <v>96</v>
      </c>
      <c r="B97">
        <v>50</v>
      </c>
      <c r="C97" t="s">
        <v>11</v>
      </c>
      <c r="D97" t="s">
        <v>12</v>
      </c>
      <c r="E97" t="s">
        <v>13</v>
      </c>
      <c r="F97">
        <v>326</v>
      </c>
      <c r="G97">
        <v>7.2</v>
      </c>
      <c r="H97">
        <v>2243</v>
      </c>
      <c r="I97">
        <v>73</v>
      </c>
      <c r="J97">
        <v>1454</v>
      </c>
      <c r="K97">
        <v>4</v>
      </c>
      <c r="L97" t="s">
        <v>38</v>
      </c>
      <c r="M97" s="2">
        <f t="shared" si="1"/>
        <v>311.52777777777777</v>
      </c>
      <c r="N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97" s="1">
        <f>F:F/I:I</f>
        <v>4.4657534246575343</v>
      </c>
    </row>
    <row r="98" spans="1:15" x14ac:dyDescent="0.3">
      <c r="A98">
        <v>97</v>
      </c>
      <c r="B98">
        <v>20</v>
      </c>
      <c r="C98" t="s">
        <v>11</v>
      </c>
      <c r="D98" t="s">
        <v>18</v>
      </c>
      <c r="E98" t="s">
        <v>19</v>
      </c>
      <c r="F98">
        <v>550</v>
      </c>
      <c r="G98">
        <v>9.5</v>
      </c>
      <c r="H98">
        <v>2916</v>
      </c>
      <c r="I98">
        <v>91</v>
      </c>
      <c r="J98">
        <v>1946</v>
      </c>
      <c r="K98">
        <v>5</v>
      </c>
      <c r="L98" t="s">
        <v>39</v>
      </c>
      <c r="M98" s="2">
        <f t="shared" si="1"/>
        <v>306.94736842105266</v>
      </c>
      <c r="N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98" s="1">
        <f>F:F/I:I</f>
        <v>6.0439560439560438</v>
      </c>
    </row>
    <row r="99" spans="1:15" x14ac:dyDescent="0.3">
      <c r="A99">
        <v>98</v>
      </c>
      <c r="B99">
        <v>28</v>
      </c>
      <c r="C99" t="s">
        <v>14</v>
      </c>
      <c r="D99" t="s">
        <v>17</v>
      </c>
      <c r="E99" t="s">
        <v>13</v>
      </c>
      <c r="F99">
        <v>516</v>
      </c>
      <c r="G99">
        <v>12</v>
      </c>
      <c r="H99">
        <v>2406</v>
      </c>
      <c r="I99">
        <v>82</v>
      </c>
      <c r="J99">
        <v>1968</v>
      </c>
      <c r="K99">
        <v>5</v>
      </c>
      <c r="L99" t="s">
        <v>36</v>
      </c>
      <c r="M99" s="2">
        <f t="shared" si="1"/>
        <v>200.5</v>
      </c>
      <c r="N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99" s="1">
        <f>F:F/I:I</f>
        <v>6.2926829268292686</v>
      </c>
    </row>
    <row r="100" spans="1:15" x14ac:dyDescent="0.3">
      <c r="A100">
        <v>99</v>
      </c>
      <c r="B100">
        <v>25</v>
      </c>
      <c r="C100" t="s">
        <v>14</v>
      </c>
      <c r="D100" t="s">
        <v>15</v>
      </c>
      <c r="E100" t="s">
        <v>13</v>
      </c>
      <c r="F100">
        <v>59</v>
      </c>
      <c r="G100">
        <v>1.2</v>
      </c>
      <c r="H100">
        <v>361</v>
      </c>
      <c r="I100">
        <v>18</v>
      </c>
      <c r="J100">
        <v>293</v>
      </c>
      <c r="K100">
        <v>1</v>
      </c>
      <c r="L100" t="s">
        <v>36</v>
      </c>
      <c r="M100" s="2">
        <f t="shared" si="1"/>
        <v>300.83333333333337</v>
      </c>
      <c r="N1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00" s="1">
        <f>F:F/I:I</f>
        <v>3.2777777777777777</v>
      </c>
    </row>
    <row r="101" spans="1:15" x14ac:dyDescent="0.3">
      <c r="A101">
        <v>100</v>
      </c>
      <c r="B101">
        <v>50</v>
      </c>
      <c r="C101" t="s">
        <v>14</v>
      </c>
      <c r="D101" t="s">
        <v>17</v>
      </c>
      <c r="E101" t="s">
        <v>13</v>
      </c>
      <c r="F101">
        <v>225</v>
      </c>
      <c r="G101">
        <v>5.5</v>
      </c>
      <c r="H101">
        <v>1526</v>
      </c>
      <c r="I101">
        <v>44</v>
      </c>
      <c r="J101">
        <v>875</v>
      </c>
      <c r="K101">
        <v>3</v>
      </c>
      <c r="L101" t="s">
        <v>38</v>
      </c>
      <c r="M101" s="2">
        <f t="shared" si="1"/>
        <v>277.45454545454544</v>
      </c>
      <c r="N1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01" s="1">
        <f>F:F/I:I</f>
        <v>5.1136363636363633</v>
      </c>
    </row>
    <row r="102" spans="1:15" x14ac:dyDescent="0.3">
      <c r="A102">
        <v>101</v>
      </c>
      <c r="B102">
        <v>53</v>
      </c>
      <c r="C102" t="s">
        <v>11</v>
      </c>
      <c r="D102" t="s">
        <v>15</v>
      </c>
      <c r="E102" t="s">
        <v>13</v>
      </c>
      <c r="F102">
        <v>41</v>
      </c>
      <c r="G102">
        <v>1.1000000000000001</v>
      </c>
      <c r="H102">
        <v>389</v>
      </c>
      <c r="I102">
        <v>15</v>
      </c>
      <c r="J102">
        <v>136</v>
      </c>
      <c r="K102">
        <v>1</v>
      </c>
      <c r="L102" t="s">
        <v>38</v>
      </c>
      <c r="M102" s="2">
        <f t="shared" si="1"/>
        <v>353.63636363636363</v>
      </c>
      <c r="N1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02" s="1">
        <f>F:F/I:I</f>
        <v>2.7333333333333334</v>
      </c>
    </row>
    <row r="103" spans="1:15" x14ac:dyDescent="0.3">
      <c r="A103">
        <v>102</v>
      </c>
      <c r="B103">
        <v>19</v>
      </c>
      <c r="C103" t="s">
        <v>11</v>
      </c>
      <c r="D103" t="s">
        <v>17</v>
      </c>
      <c r="E103" t="s">
        <v>13</v>
      </c>
      <c r="F103">
        <v>183</v>
      </c>
      <c r="G103">
        <v>4.0999999999999996</v>
      </c>
      <c r="H103">
        <v>1210</v>
      </c>
      <c r="I103">
        <v>45</v>
      </c>
      <c r="J103">
        <v>738</v>
      </c>
      <c r="K103">
        <v>3</v>
      </c>
      <c r="L103" t="s">
        <v>42</v>
      </c>
      <c r="M103" s="2">
        <f t="shared" si="1"/>
        <v>295.1219512195122</v>
      </c>
      <c r="N1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103" s="1">
        <f>F:F/I:I</f>
        <v>4.0666666666666664</v>
      </c>
    </row>
    <row r="104" spans="1:15" x14ac:dyDescent="0.3">
      <c r="A104">
        <v>103</v>
      </c>
      <c r="B104">
        <v>32</v>
      </c>
      <c r="C104" t="s">
        <v>14</v>
      </c>
      <c r="D104" t="s">
        <v>15</v>
      </c>
      <c r="E104" t="s">
        <v>13</v>
      </c>
      <c r="F104">
        <v>174</v>
      </c>
      <c r="G104">
        <v>2.5</v>
      </c>
      <c r="H104">
        <v>929</v>
      </c>
      <c r="I104">
        <v>37</v>
      </c>
      <c r="J104">
        <v>565</v>
      </c>
      <c r="K104">
        <v>2</v>
      </c>
      <c r="L104" t="s">
        <v>40</v>
      </c>
      <c r="M104" s="2">
        <f t="shared" si="1"/>
        <v>371.6</v>
      </c>
      <c r="N1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04" s="1">
        <f>F:F/I:I</f>
        <v>4.7027027027027026</v>
      </c>
    </row>
    <row r="105" spans="1:15" x14ac:dyDescent="0.3">
      <c r="A105">
        <v>104</v>
      </c>
      <c r="B105">
        <v>28</v>
      </c>
      <c r="C105" t="s">
        <v>11</v>
      </c>
      <c r="D105" t="s">
        <v>12</v>
      </c>
      <c r="E105" t="s">
        <v>13</v>
      </c>
      <c r="F105">
        <v>274</v>
      </c>
      <c r="G105">
        <v>4.2</v>
      </c>
      <c r="H105">
        <v>1781</v>
      </c>
      <c r="I105">
        <v>52</v>
      </c>
      <c r="J105">
        <v>934</v>
      </c>
      <c r="K105">
        <v>3</v>
      </c>
      <c r="L105" t="s">
        <v>36</v>
      </c>
      <c r="M105" s="2">
        <f t="shared" si="1"/>
        <v>424.04761904761904</v>
      </c>
      <c r="N1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05" s="1">
        <f>F:F/I:I</f>
        <v>5.2692307692307692</v>
      </c>
    </row>
    <row r="106" spans="1:15" x14ac:dyDescent="0.3">
      <c r="A106">
        <v>105</v>
      </c>
      <c r="B106">
        <v>25</v>
      </c>
      <c r="C106" t="s">
        <v>11</v>
      </c>
      <c r="D106" t="s">
        <v>12</v>
      </c>
      <c r="E106" t="s">
        <v>13</v>
      </c>
      <c r="F106">
        <v>166</v>
      </c>
      <c r="G106">
        <v>2.8</v>
      </c>
      <c r="H106">
        <v>1113</v>
      </c>
      <c r="I106">
        <v>28</v>
      </c>
      <c r="J106">
        <v>360</v>
      </c>
      <c r="K106">
        <v>2</v>
      </c>
      <c r="L106" t="s">
        <v>36</v>
      </c>
      <c r="M106" s="2">
        <f t="shared" si="1"/>
        <v>397.5</v>
      </c>
      <c r="N1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06" s="1">
        <f>F:F/I:I</f>
        <v>5.9285714285714288</v>
      </c>
    </row>
    <row r="107" spans="1:15" x14ac:dyDescent="0.3">
      <c r="A107">
        <v>106</v>
      </c>
      <c r="B107">
        <v>36</v>
      </c>
      <c r="C107" t="s">
        <v>11</v>
      </c>
      <c r="D107" t="s">
        <v>12</v>
      </c>
      <c r="E107" t="s">
        <v>13</v>
      </c>
      <c r="F107">
        <v>66</v>
      </c>
      <c r="G107">
        <v>1.2</v>
      </c>
      <c r="H107">
        <v>585</v>
      </c>
      <c r="I107">
        <v>12</v>
      </c>
      <c r="J107">
        <v>264</v>
      </c>
      <c r="K107">
        <v>1</v>
      </c>
      <c r="L107" t="s">
        <v>35</v>
      </c>
      <c r="M107" s="2">
        <f t="shared" si="1"/>
        <v>487.5</v>
      </c>
      <c r="N1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07" s="1">
        <f>F:F/I:I</f>
        <v>5.5</v>
      </c>
    </row>
    <row r="108" spans="1:15" x14ac:dyDescent="0.3">
      <c r="A108">
        <v>107</v>
      </c>
      <c r="B108">
        <v>55</v>
      </c>
      <c r="C108" t="s">
        <v>11</v>
      </c>
      <c r="D108" t="s">
        <v>15</v>
      </c>
      <c r="E108" t="s">
        <v>13</v>
      </c>
      <c r="F108">
        <v>152</v>
      </c>
      <c r="G108">
        <v>2.7</v>
      </c>
      <c r="H108">
        <v>642</v>
      </c>
      <c r="I108">
        <v>38</v>
      </c>
      <c r="J108">
        <v>596</v>
      </c>
      <c r="K108">
        <v>2</v>
      </c>
      <c r="L108" t="s">
        <v>37</v>
      </c>
      <c r="M108" s="2">
        <f t="shared" si="1"/>
        <v>237.77777777777777</v>
      </c>
      <c r="N1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08" s="1">
        <f>F:F/I:I</f>
        <v>4</v>
      </c>
    </row>
    <row r="109" spans="1:15" x14ac:dyDescent="0.3">
      <c r="A109">
        <v>108</v>
      </c>
      <c r="B109">
        <v>23</v>
      </c>
      <c r="C109" t="s">
        <v>14</v>
      </c>
      <c r="D109" t="s">
        <v>15</v>
      </c>
      <c r="E109" t="s">
        <v>13</v>
      </c>
      <c r="F109">
        <v>54</v>
      </c>
      <c r="G109">
        <v>1.4</v>
      </c>
      <c r="H109">
        <v>403</v>
      </c>
      <c r="I109">
        <v>17</v>
      </c>
      <c r="J109">
        <v>278</v>
      </c>
      <c r="K109">
        <v>1</v>
      </c>
      <c r="L109" t="s">
        <v>39</v>
      </c>
      <c r="M109" s="2">
        <f t="shared" si="1"/>
        <v>287.85714285714289</v>
      </c>
      <c r="N1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09" s="1">
        <f>F:F/I:I</f>
        <v>3.1764705882352939</v>
      </c>
    </row>
    <row r="110" spans="1:15" x14ac:dyDescent="0.3">
      <c r="A110">
        <v>109</v>
      </c>
      <c r="B110">
        <v>50</v>
      </c>
      <c r="C110" t="s">
        <v>14</v>
      </c>
      <c r="D110" t="s">
        <v>12</v>
      </c>
      <c r="E110" t="s">
        <v>13</v>
      </c>
      <c r="F110">
        <v>187</v>
      </c>
      <c r="G110">
        <v>5.5</v>
      </c>
      <c r="H110">
        <v>1754</v>
      </c>
      <c r="I110">
        <v>55</v>
      </c>
      <c r="J110">
        <v>711</v>
      </c>
      <c r="K110">
        <v>3</v>
      </c>
      <c r="L110" t="s">
        <v>38</v>
      </c>
      <c r="M110" s="2">
        <f t="shared" si="1"/>
        <v>318.90909090909093</v>
      </c>
      <c r="N1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10" s="1">
        <f>F:F/I:I</f>
        <v>3.4</v>
      </c>
    </row>
    <row r="111" spans="1:15" x14ac:dyDescent="0.3">
      <c r="A111">
        <v>110</v>
      </c>
      <c r="B111">
        <v>39</v>
      </c>
      <c r="C111" t="s">
        <v>14</v>
      </c>
      <c r="D111" t="s">
        <v>17</v>
      </c>
      <c r="E111" t="s">
        <v>13</v>
      </c>
      <c r="F111">
        <v>216</v>
      </c>
      <c r="G111">
        <v>6</v>
      </c>
      <c r="H111">
        <v>1641</v>
      </c>
      <c r="I111">
        <v>41</v>
      </c>
      <c r="J111">
        <v>889</v>
      </c>
      <c r="K111">
        <v>3</v>
      </c>
      <c r="L111" t="s">
        <v>35</v>
      </c>
      <c r="M111" s="2">
        <f t="shared" si="1"/>
        <v>273.5</v>
      </c>
      <c r="N1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11" s="1">
        <f>F:F/I:I</f>
        <v>5.2682926829268295</v>
      </c>
    </row>
    <row r="112" spans="1:15" x14ac:dyDescent="0.3">
      <c r="A112">
        <v>111</v>
      </c>
      <c r="B112">
        <v>41</v>
      </c>
      <c r="C112" t="s">
        <v>14</v>
      </c>
      <c r="D112" t="s">
        <v>17</v>
      </c>
      <c r="E112" t="s">
        <v>13</v>
      </c>
      <c r="F112">
        <v>95</v>
      </c>
      <c r="G112">
        <v>3.8</v>
      </c>
      <c r="H112">
        <v>718</v>
      </c>
      <c r="I112">
        <v>26</v>
      </c>
      <c r="J112">
        <v>459</v>
      </c>
      <c r="K112">
        <v>2</v>
      </c>
      <c r="L112" t="s">
        <v>34</v>
      </c>
      <c r="M112" s="2">
        <f t="shared" si="1"/>
        <v>188.94736842105263</v>
      </c>
      <c r="N1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12" s="1">
        <f>F:F/I:I</f>
        <v>3.6538461538461537</v>
      </c>
    </row>
    <row r="113" spans="1:15" x14ac:dyDescent="0.3">
      <c r="A113">
        <v>112</v>
      </c>
      <c r="B113">
        <v>19</v>
      </c>
      <c r="C113" t="s">
        <v>11</v>
      </c>
      <c r="D113" t="s">
        <v>12</v>
      </c>
      <c r="E113" t="s">
        <v>13</v>
      </c>
      <c r="F113">
        <v>488</v>
      </c>
      <c r="G113">
        <v>8.6</v>
      </c>
      <c r="H113">
        <v>2447</v>
      </c>
      <c r="I113">
        <v>84</v>
      </c>
      <c r="J113">
        <v>2344</v>
      </c>
      <c r="K113">
        <v>5</v>
      </c>
      <c r="L113" t="s">
        <v>42</v>
      </c>
      <c r="M113" s="2">
        <f t="shared" si="1"/>
        <v>284.53488372093022</v>
      </c>
      <c r="N1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113" s="1">
        <f>F:F/I:I</f>
        <v>5.8095238095238093</v>
      </c>
    </row>
    <row r="114" spans="1:15" x14ac:dyDescent="0.3">
      <c r="A114">
        <v>113</v>
      </c>
      <c r="B114">
        <v>27</v>
      </c>
      <c r="C114" t="s">
        <v>14</v>
      </c>
      <c r="D114" t="s">
        <v>15</v>
      </c>
      <c r="E114" t="s">
        <v>13</v>
      </c>
      <c r="F114">
        <v>295</v>
      </c>
      <c r="G114">
        <v>5.0999999999999996</v>
      </c>
      <c r="H114">
        <v>1483</v>
      </c>
      <c r="I114">
        <v>45</v>
      </c>
      <c r="J114">
        <v>748</v>
      </c>
      <c r="K114">
        <v>3</v>
      </c>
      <c r="L114" t="s">
        <v>36</v>
      </c>
      <c r="M114" s="2">
        <f t="shared" si="1"/>
        <v>290.78431372549022</v>
      </c>
      <c r="N1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14" s="1">
        <f>F:F/I:I</f>
        <v>6.5555555555555554</v>
      </c>
    </row>
    <row r="115" spans="1:15" x14ac:dyDescent="0.3">
      <c r="A115">
        <v>114</v>
      </c>
      <c r="B115">
        <v>42</v>
      </c>
      <c r="C115" t="s">
        <v>11</v>
      </c>
      <c r="D115" t="s">
        <v>16</v>
      </c>
      <c r="E115" t="s">
        <v>13</v>
      </c>
      <c r="F115">
        <v>136</v>
      </c>
      <c r="G115">
        <v>3.2</v>
      </c>
      <c r="H115">
        <v>818</v>
      </c>
      <c r="I115">
        <v>33</v>
      </c>
      <c r="J115">
        <v>404</v>
      </c>
      <c r="K115">
        <v>2</v>
      </c>
      <c r="L115" t="s">
        <v>34</v>
      </c>
      <c r="M115" s="2">
        <f t="shared" si="1"/>
        <v>255.625</v>
      </c>
      <c r="N1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15" s="1">
        <f>F:F/I:I</f>
        <v>4.1212121212121211</v>
      </c>
    </row>
    <row r="116" spans="1:15" x14ac:dyDescent="0.3">
      <c r="A116">
        <v>115</v>
      </c>
      <c r="B116">
        <v>54</v>
      </c>
      <c r="C116" t="s">
        <v>14</v>
      </c>
      <c r="D116" t="s">
        <v>12</v>
      </c>
      <c r="E116" t="s">
        <v>13</v>
      </c>
      <c r="F116">
        <v>471</v>
      </c>
      <c r="G116">
        <v>7.9</v>
      </c>
      <c r="H116">
        <v>2156</v>
      </c>
      <c r="I116">
        <v>76</v>
      </c>
      <c r="J116">
        <v>1324</v>
      </c>
      <c r="K116">
        <v>4</v>
      </c>
      <c r="L116" t="s">
        <v>38</v>
      </c>
      <c r="M116" s="2">
        <f t="shared" si="1"/>
        <v>272.91139240506328</v>
      </c>
      <c r="N1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16" s="1">
        <f>F:F/I:I</f>
        <v>6.1973684210526319</v>
      </c>
    </row>
    <row r="117" spans="1:15" x14ac:dyDescent="0.3">
      <c r="A117">
        <v>116</v>
      </c>
      <c r="B117">
        <v>39</v>
      </c>
      <c r="C117" t="s">
        <v>11</v>
      </c>
      <c r="D117" t="s">
        <v>18</v>
      </c>
      <c r="E117" t="s">
        <v>19</v>
      </c>
      <c r="F117">
        <v>121</v>
      </c>
      <c r="G117">
        <v>3.2</v>
      </c>
      <c r="H117">
        <v>651</v>
      </c>
      <c r="I117">
        <v>34</v>
      </c>
      <c r="J117">
        <v>596</v>
      </c>
      <c r="K117">
        <v>2</v>
      </c>
      <c r="L117" t="s">
        <v>35</v>
      </c>
      <c r="M117" s="2">
        <f t="shared" si="1"/>
        <v>203.4375</v>
      </c>
      <c r="N1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17" s="1">
        <f>F:F/I:I</f>
        <v>3.5588235294117645</v>
      </c>
    </row>
    <row r="118" spans="1:15" x14ac:dyDescent="0.3">
      <c r="A118">
        <v>117</v>
      </c>
      <c r="B118">
        <v>18</v>
      </c>
      <c r="C118" t="s">
        <v>11</v>
      </c>
      <c r="D118" t="s">
        <v>18</v>
      </c>
      <c r="E118" t="s">
        <v>19</v>
      </c>
      <c r="F118">
        <v>75</v>
      </c>
      <c r="G118">
        <v>1.2</v>
      </c>
      <c r="H118">
        <v>409</v>
      </c>
      <c r="I118">
        <v>13</v>
      </c>
      <c r="J118">
        <v>281</v>
      </c>
      <c r="K118">
        <v>1</v>
      </c>
      <c r="L118" t="s">
        <v>42</v>
      </c>
      <c r="M118" s="2">
        <f t="shared" si="1"/>
        <v>340.83333333333337</v>
      </c>
      <c r="N1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118" s="1">
        <f>F:F/I:I</f>
        <v>5.7692307692307692</v>
      </c>
    </row>
    <row r="119" spans="1:15" x14ac:dyDescent="0.3">
      <c r="A119">
        <v>118</v>
      </c>
      <c r="B119">
        <v>27</v>
      </c>
      <c r="C119" t="s">
        <v>14</v>
      </c>
      <c r="D119" t="s">
        <v>18</v>
      </c>
      <c r="E119" t="s">
        <v>19</v>
      </c>
      <c r="F119">
        <v>220</v>
      </c>
      <c r="G119">
        <v>5.2</v>
      </c>
      <c r="H119">
        <v>1631</v>
      </c>
      <c r="I119">
        <v>49</v>
      </c>
      <c r="J119">
        <v>909</v>
      </c>
      <c r="K119">
        <v>3</v>
      </c>
      <c r="L119" t="s">
        <v>36</v>
      </c>
      <c r="M119" s="2">
        <f t="shared" si="1"/>
        <v>313.65384615384613</v>
      </c>
      <c r="N1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19" s="1">
        <f>F:F/I:I</f>
        <v>4.4897959183673466</v>
      </c>
    </row>
    <row r="120" spans="1:15" x14ac:dyDescent="0.3">
      <c r="A120">
        <v>119</v>
      </c>
      <c r="B120">
        <v>28</v>
      </c>
      <c r="C120" t="s">
        <v>14</v>
      </c>
      <c r="D120" t="s">
        <v>16</v>
      </c>
      <c r="E120" t="s">
        <v>13</v>
      </c>
      <c r="F120">
        <v>82</v>
      </c>
      <c r="G120">
        <v>1.6</v>
      </c>
      <c r="H120">
        <v>590</v>
      </c>
      <c r="I120">
        <v>13</v>
      </c>
      <c r="J120">
        <v>124</v>
      </c>
      <c r="K120">
        <v>1</v>
      </c>
      <c r="L120" t="s">
        <v>36</v>
      </c>
      <c r="M120" s="2">
        <f t="shared" si="1"/>
        <v>368.75</v>
      </c>
      <c r="N1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20" s="1">
        <f>F:F/I:I</f>
        <v>6.3076923076923075</v>
      </c>
    </row>
    <row r="121" spans="1:15" x14ac:dyDescent="0.3">
      <c r="A121">
        <v>120</v>
      </c>
      <c r="B121">
        <v>41</v>
      </c>
      <c r="C121" t="s">
        <v>11</v>
      </c>
      <c r="D121" t="s">
        <v>15</v>
      </c>
      <c r="E121" t="s">
        <v>13</v>
      </c>
      <c r="F121">
        <v>97</v>
      </c>
      <c r="G121">
        <v>2.7</v>
      </c>
      <c r="H121">
        <v>1018</v>
      </c>
      <c r="I121">
        <v>37</v>
      </c>
      <c r="J121">
        <v>428</v>
      </c>
      <c r="K121">
        <v>2</v>
      </c>
      <c r="L121" t="s">
        <v>34</v>
      </c>
      <c r="M121" s="2">
        <f t="shared" si="1"/>
        <v>377.03703703703701</v>
      </c>
      <c r="N1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21" s="1">
        <f>F:F/I:I</f>
        <v>2.6216216216216215</v>
      </c>
    </row>
    <row r="122" spans="1:15" x14ac:dyDescent="0.3">
      <c r="A122">
        <v>121</v>
      </c>
      <c r="B122">
        <v>45</v>
      </c>
      <c r="C122" t="s">
        <v>14</v>
      </c>
      <c r="D122" t="s">
        <v>16</v>
      </c>
      <c r="E122" t="s">
        <v>13</v>
      </c>
      <c r="F122">
        <v>388</v>
      </c>
      <c r="G122">
        <v>6.6</v>
      </c>
      <c r="H122">
        <v>2085</v>
      </c>
      <c r="I122">
        <v>71</v>
      </c>
      <c r="J122">
        <v>1150</v>
      </c>
      <c r="K122">
        <v>4</v>
      </c>
      <c r="L122" t="s">
        <v>41</v>
      </c>
      <c r="M122" s="2">
        <f t="shared" si="1"/>
        <v>315.90909090909093</v>
      </c>
      <c r="N1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22" s="1">
        <f>F:F/I:I</f>
        <v>5.464788732394366</v>
      </c>
    </row>
    <row r="123" spans="1:15" x14ac:dyDescent="0.3">
      <c r="A123">
        <v>122</v>
      </c>
      <c r="B123">
        <v>39</v>
      </c>
      <c r="C123" t="s">
        <v>14</v>
      </c>
      <c r="D123" t="s">
        <v>17</v>
      </c>
      <c r="E123" t="s">
        <v>13</v>
      </c>
      <c r="F123">
        <v>529</v>
      </c>
      <c r="G123">
        <v>8.6999999999999993</v>
      </c>
      <c r="H123">
        <v>2484</v>
      </c>
      <c r="I123">
        <v>89</v>
      </c>
      <c r="J123">
        <v>2189</v>
      </c>
      <c r="K123">
        <v>5</v>
      </c>
      <c r="L123" t="s">
        <v>35</v>
      </c>
      <c r="M123" s="2">
        <f t="shared" si="1"/>
        <v>285.51724137931035</v>
      </c>
      <c r="N1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23" s="1">
        <f>F:F/I:I</f>
        <v>5.9438202247191008</v>
      </c>
    </row>
    <row r="124" spans="1:15" x14ac:dyDescent="0.3">
      <c r="A124">
        <v>123</v>
      </c>
      <c r="B124">
        <v>49</v>
      </c>
      <c r="C124" t="s">
        <v>14</v>
      </c>
      <c r="D124" t="s">
        <v>15</v>
      </c>
      <c r="E124" t="s">
        <v>13</v>
      </c>
      <c r="F124">
        <v>584</v>
      </c>
      <c r="G124">
        <v>10</v>
      </c>
      <c r="H124">
        <v>2541</v>
      </c>
      <c r="I124">
        <v>99</v>
      </c>
      <c r="J124">
        <v>2391</v>
      </c>
      <c r="K124">
        <v>5</v>
      </c>
      <c r="L124" t="s">
        <v>41</v>
      </c>
      <c r="M124" s="2">
        <f t="shared" si="1"/>
        <v>254.1</v>
      </c>
      <c r="N1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24" s="1">
        <f>F:F/I:I</f>
        <v>5.8989898989898988</v>
      </c>
    </row>
    <row r="125" spans="1:15" x14ac:dyDescent="0.3">
      <c r="A125">
        <v>124</v>
      </c>
      <c r="B125">
        <v>35</v>
      </c>
      <c r="C125" t="s">
        <v>11</v>
      </c>
      <c r="D125" t="s">
        <v>15</v>
      </c>
      <c r="E125" t="s">
        <v>13</v>
      </c>
      <c r="F125">
        <v>529</v>
      </c>
      <c r="G125">
        <v>8.1</v>
      </c>
      <c r="H125">
        <v>2686</v>
      </c>
      <c r="I125">
        <v>96</v>
      </c>
      <c r="J125">
        <v>1924</v>
      </c>
      <c r="K125">
        <v>5</v>
      </c>
      <c r="L125" t="s">
        <v>35</v>
      </c>
      <c r="M125" s="2">
        <f t="shared" si="1"/>
        <v>331.60493827160496</v>
      </c>
      <c r="N1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25" s="1">
        <f>F:F/I:I</f>
        <v>5.510416666666667</v>
      </c>
    </row>
    <row r="126" spans="1:15" x14ac:dyDescent="0.3">
      <c r="A126">
        <v>125</v>
      </c>
      <c r="B126">
        <v>21</v>
      </c>
      <c r="C126" t="s">
        <v>11</v>
      </c>
      <c r="D126" t="s">
        <v>15</v>
      </c>
      <c r="E126" t="s">
        <v>13</v>
      </c>
      <c r="F126">
        <v>227</v>
      </c>
      <c r="G126">
        <v>5.0999999999999996</v>
      </c>
      <c r="H126">
        <v>1702</v>
      </c>
      <c r="I126">
        <v>57</v>
      </c>
      <c r="J126">
        <v>714</v>
      </c>
      <c r="K126">
        <v>3</v>
      </c>
      <c r="L126" t="s">
        <v>39</v>
      </c>
      <c r="M126" s="2">
        <f t="shared" si="1"/>
        <v>333.72549019607845</v>
      </c>
      <c r="N1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26" s="1">
        <f>F:F/I:I</f>
        <v>3.9824561403508771</v>
      </c>
    </row>
    <row r="127" spans="1:15" x14ac:dyDescent="0.3">
      <c r="A127">
        <v>126</v>
      </c>
      <c r="B127">
        <v>50</v>
      </c>
      <c r="C127" t="s">
        <v>11</v>
      </c>
      <c r="D127" t="s">
        <v>16</v>
      </c>
      <c r="E127" t="s">
        <v>13</v>
      </c>
      <c r="F127">
        <v>535</v>
      </c>
      <c r="G127">
        <v>11.8</v>
      </c>
      <c r="H127">
        <v>2858</v>
      </c>
      <c r="I127">
        <v>99</v>
      </c>
      <c r="J127">
        <v>2378</v>
      </c>
      <c r="K127">
        <v>5</v>
      </c>
      <c r="L127" t="s">
        <v>38</v>
      </c>
      <c r="M127" s="2">
        <f t="shared" si="1"/>
        <v>242.20338983050846</v>
      </c>
      <c r="N1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27" s="1">
        <f>F:F/I:I</f>
        <v>5.404040404040404</v>
      </c>
    </row>
    <row r="128" spans="1:15" x14ac:dyDescent="0.3">
      <c r="A128">
        <v>127</v>
      </c>
      <c r="B128">
        <v>20</v>
      </c>
      <c r="C128" t="s">
        <v>14</v>
      </c>
      <c r="D128" t="s">
        <v>18</v>
      </c>
      <c r="E128" t="s">
        <v>19</v>
      </c>
      <c r="F128">
        <v>332</v>
      </c>
      <c r="G128">
        <v>7.4</v>
      </c>
      <c r="H128">
        <v>2149</v>
      </c>
      <c r="I128">
        <v>68</v>
      </c>
      <c r="J128">
        <v>1321</v>
      </c>
      <c r="K128">
        <v>4</v>
      </c>
      <c r="L128" t="s">
        <v>39</v>
      </c>
      <c r="M128" s="2">
        <f t="shared" si="1"/>
        <v>290.40540540540542</v>
      </c>
      <c r="N1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28" s="1">
        <f>F:F/I:I</f>
        <v>4.882352941176471</v>
      </c>
    </row>
    <row r="129" spans="1:15" x14ac:dyDescent="0.3">
      <c r="A129">
        <v>128</v>
      </c>
      <c r="B129">
        <v>50</v>
      </c>
      <c r="C129" t="s">
        <v>14</v>
      </c>
      <c r="D129" t="s">
        <v>15</v>
      </c>
      <c r="E129" t="s">
        <v>13</v>
      </c>
      <c r="F129">
        <v>252</v>
      </c>
      <c r="G129">
        <v>4.2</v>
      </c>
      <c r="H129">
        <v>1439</v>
      </c>
      <c r="I129">
        <v>45</v>
      </c>
      <c r="J129">
        <v>667</v>
      </c>
      <c r="K129">
        <v>3</v>
      </c>
      <c r="L129" t="s">
        <v>38</v>
      </c>
      <c r="M129" s="2">
        <f t="shared" si="1"/>
        <v>342.61904761904759</v>
      </c>
      <c r="N1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29" s="1">
        <f>F:F/I:I</f>
        <v>5.6</v>
      </c>
    </row>
    <row r="130" spans="1:15" x14ac:dyDescent="0.3">
      <c r="A130">
        <v>129</v>
      </c>
      <c r="B130">
        <v>31</v>
      </c>
      <c r="C130" t="s">
        <v>11</v>
      </c>
      <c r="D130" t="s">
        <v>12</v>
      </c>
      <c r="E130" t="s">
        <v>13</v>
      </c>
      <c r="F130">
        <v>125</v>
      </c>
      <c r="G130">
        <v>2.5</v>
      </c>
      <c r="H130">
        <v>678</v>
      </c>
      <c r="I130">
        <v>34</v>
      </c>
      <c r="J130">
        <v>465</v>
      </c>
      <c r="K130">
        <v>2</v>
      </c>
      <c r="L130" t="s">
        <v>40</v>
      </c>
      <c r="M130" s="2">
        <f t="shared" ref="M130:M193" si="2">H:H/G:G</f>
        <v>271.2</v>
      </c>
      <c r="N1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30" s="1">
        <f>F:F/I:I</f>
        <v>3.6764705882352939</v>
      </c>
    </row>
    <row r="131" spans="1:15" x14ac:dyDescent="0.3">
      <c r="A131">
        <v>130</v>
      </c>
      <c r="B131">
        <v>36</v>
      </c>
      <c r="C131" t="s">
        <v>14</v>
      </c>
      <c r="D131" t="s">
        <v>12</v>
      </c>
      <c r="E131" t="s">
        <v>13</v>
      </c>
      <c r="F131">
        <v>97</v>
      </c>
      <c r="G131">
        <v>3.3</v>
      </c>
      <c r="H131">
        <v>751</v>
      </c>
      <c r="I131">
        <v>39</v>
      </c>
      <c r="J131">
        <v>412</v>
      </c>
      <c r="K131">
        <v>2</v>
      </c>
      <c r="L131" t="s">
        <v>35</v>
      </c>
      <c r="M131" s="2">
        <f t="shared" si="2"/>
        <v>227.57575757575759</v>
      </c>
      <c r="N1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31" s="1">
        <f>F:F/I:I</f>
        <v>2.4871794871794872</v>
      </c>
    </row>
    <row r="132" spans="1:15" x14ac:dyDescent="0.3">
      <c r="A132">
        <v>131</v>
      </c>
      <c r="B132">
        <v>40</v>
      </c>
      <c r="C132" t="s">
        <v>11</v>
      </c>
      <c r="D132" t="s">
        <v>15</v>
      </c>
      <c r="E132" t="s">
        <v>13</v>
      </c>
      <c r="F132">
        <v>540</v>
      </c>
      <c r="G132">
        <v>10.8</v>
      </c>
      <c r="H132">
        <v>2923</v>
      </c>
      <c r="I132">
        <v>90</v>
      </c>
      <c r="J132">
        <v>1886</v>
      </c>
      <c r="K132">
        <v>5</v>
      </c>
      <c r="L132" t="s">
        <v>34</v>
      </c>
      <c r="M132" s="2">
        <f t="shared" si="2"/>
        <v>270.64814814814815</v>
      </c>
      <c r="N1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32" s="1">
        <f>F:F/I:I</f>
        <v>6</v>
      </c>
    </row>
    <row r="133" spans="1:15" x14ac:dyDescent="0.3">
      <c r="A133">
        <v>132</v>
      </c>
      <c r="B133">
        <v>52</v>
      </c>
      <c r="C133" t="s">
        <v>14</v>
      </c>
      <c r="D133" t="s">
        <v>12</v>
      </c>
      <c r="E133" t="s">
        <v>13</v>
      </c>
      <c r="F133">
        <v>320</v>
      </c>
      <c r="G133">
        <v>7.2</v>
      </c>
      <c r="H133">
        <v>2056</v>
      </c>
      <c r="I133">
        <v>69</v>
      </c>
      <c r="J133">
        <v>1226</v>
      </c>
      <c r="K133">
        <v>4</v>
      </c>
      <c r="L133" t="s">
        <v>38</v>
      </c>
      <c r="M133" s="2">
        <f t="shared" si="2"/>
        <v>285.55555555555554</v>
      </c>
      <c r="N1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33" s="1">
        <f>F:F/I:I</f>
        <v>4.63768115942029</v>
      </c>
    </row>
    <row r="134" spans="1:15" x14ac:dyDescent="0.3">
      <c r="A134">
        <v>133</v>
      </c>
      <c r="B134">
        <v>40</v>
      </c>
      <c r="C134" t="s">
        <v>14</v>
      </c>
      <c r="D134" t="s">
        <v>15</v>
      </c>
      <c r="E134" t="s">
        <v>13</v>
      </c>
      <c r="F134">
        <v>176</v>
      </c>
      <c r="G134">
        <v>3.6</v>
      </c>
      <c r="H134">
        <v>1193</v>
      </c>
      <c r="I134">
        <v>30</v>
      </c>
      <c r="J134">
        <v>458</v>
      </c>
      <c r="K134">
        <v>2</v>
      </c>
      <c r="L134" t="s">
        <v>34</v>
      </c>
      <c r="M134" s="2">
        <f t="shared" si="2"/>
        <v>331.38888888888886</v>
      </c>
      <c r="N1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34" s="1">
        <f>F:F/I:I</f>
        <v>5.8666666666666663</v>
      </c>
    </row>
    <row r="135" spans="1:15" x14ac:dyDescent="0.3">
      <c r="A135">
        <v>134</v>
      </c>
      <c r="B135">
        <v>42</v>
      </c>
      <c r="C135" t="s">
        <v>11</v>
      </c>
      <c r="D135" t="s">
        <v>16</v>
      </c>
      <c r="E135" t="s">
        <v>13</v>
      </c>
      <c r="F135">
        <v>79</v>
      </c>
      <c r="G135">
        <v>1</v>
      </c>
      <c r="H135">
        <v>313</v>
      </c>
      <c r="I135">
        <v>18</v>
      </c>
      <c r="J135">
        <v>139</v>
      </c>
      <c r="K135">
        <v>1</v>
      </c>
      <c r="L135" t="s">
        <v>34</v>
      </c>
      <c r="M135" s="2">
        <f t="shared" si="2"/>
        <v>313</v>
      </c>
      <c r="N1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35" s="1">
        <f>F:F/I:I</f>
        <v>4.3888888888888893</v>
      </c>
    </row>
    <row r="136" spans="1:15" x14ac:dyDescent="0.3">
      <c r="A136">
        <v>135</v>
      </c>
      <c r="B136">
        <v>51</v>
      </c>
      <c r="C136" t="s">
        <v>11</v>
      </c>
      <c r="D136" t="s">
        <v>12</v>
      </c>
      <c r="E136" t="s">
        <v>13</v>
      </c>
      <c r="F136">
        <v>83</v>
      </c>
      <c r="G136">
        <v>1.6</v>
      </c>
      <c r="H136">
        <v>303</v>
      </c>
      <c r="I136">
        <v>19</v>
      </c>
      <c r="J136">
        <v>285</v>
      </c>
      <c r="K136">
        <v>1</v>
      </c>
      <c r="L136" t="s">
        <v>38</v>
      </c>
      <c r="M136" s="2">
        <f t="shared" si="2"/>
        <v>189.375</v>
      </c>
      <c r="N1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36" s="1">
        <f>F:F/I:I</f>
        <v>4.3684210526315788</v>
      </c>
    </row>
    <row r="137" spans="1:15" x14ac:dyDescent="0.3">
      <c r="A137">
        <v>136</v>
      </c>
      <c r="B137">
        <v>55</v>
      </c>
      <c r="C137" t="s">
        <v>14</v>
      </c>
      <c r="D137" t="s">
        <v>18</v>
      </c>
      <c r="E137" t="s">
        <v>19</v>
      </c>
      <c r="F137">
        <v>555</v>
      </c>
      <c r="G137">
        <v>11.3</v>
      </c>
      <c r="H137">
        <v>2528</v>
      </c>
      <c r="I137">
        <v>90</v>
      </c>
      <c r="J137">
        <v>1856</v>
      </c>
      <c r="K137">
        <v>5</v>
      </c>
      <c r="L137" t="s">
        <v>37</v>
      </c>
      <c r="M137" s="2">
        <f t="shared" si="2"/>
        <v>223.71681415929203</v>
      </c>
      <c r="N1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37" s="1">
        <f>F:F/I:I</f>
        <v>6.166666666666667</v>
      </c>
    </row>
    <row r="138" spans="1:15" x14ac:dyDescent="0.3">
      <c r="A138">
        <v>137</v>
      </c>
      <c r="B138">
        <v>39</v>
      </c>
      <c r="C138" t="s">
        <v>11</v>
      </c>
      <c r="D138" t="s">
        <v>16</v>
      </c>
      <c r="E138" t="s">
        <v>13</v>
      </c>
      <c r="F138">
        <v>66</v>
      </c>
      <c r="G138">
        <v>1.7</v>
      </c>
      <c r="H138">
        <v>375</v>
      </c>
      <c r="I138">
        <v>16</v>
      </c>
      <c r="J138">
        <v>216</v>
      </c>
      <c r="K138">
        <v>1</v>
      </c>
      <c r="L138" t="s">
        <v>35</v>
      </c>
      <c r="M138" s="2">
        <f t="shared" si="2"/>
        <v>220.58823529411765</v>
      </c>
      <c r="N1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38" s="1">
        <f>F:F/I:I</f>
        <v>4.125</v>
      </c>
    </row>
    <row r="139" spans="1:15" x14ac:dyDescent="0.3">
      <c r="A139">
        <v>138</v>
      </c>
      <c r="B139">
        <v>24</v>
      </c>
      <c r="C139" t="s">
        <v>14</v>
      </c>
      <c r="D139" t="s">
        <v>12</v>
      </c>
      <c r="E139" t="s">
        <v>13</v>
      </c>
      <c r="F139">
        <v>237</v>
      </c>
      <c r="G139">
        <v>4.5</v>
      </c>
      <c r="H139">
        <v>1368</v>
      </c>
      <c r="I139">
        <v>42</v>
      </c>
      <c r="J139">
        <v>868</v>
      </c>
      <c r="K139">
        <v>3</v>
      </c>
      <c r="L139" t="s">
        <v>39</v>
      </c>
      <c r="M139" s="2">
        <f t="shared" si="2"/>
        <v>304</v>
      </c>
      <c r="N1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39" s="1">
        <f>F:F/I:I</f>
        <v>5.6428571428571432</v>
      </c>
    </row>
    <row r="140" spans="1:15" x14ac:dyDescent="0.3">
      <c r="A140">
        <v>139</v>
      </c>
      <c r="B140">
        <v>18</v>
      </c>
      <c r="C140" t="s">
        <v>11</v>
      </c>
      <c r="D140" t="s">
        <v>16</v>
      </c>
      <c r="E140" t="s">
        <v>13</v>
      </c>
      <c r="F140">
        <v>497</v>
      </c>
      <c r="G140">
        <v>9.6999999999999993</v>
      </c>
      <c r="H140">
        <v>2876</v>
      </c>
      <c r="I140">
        <v>94</v>
      </c>
      <c r="J140">
        <v>2076</v>
      </c>
      <c r="K140">
        <v>5</v>
      </c>
      <c r="L140" t="s">
        <v>42</v>
      </c>
      <c r="M140" s="2">
        <f t="shared" si="2"/>
        <v>296.49484536082474</v>
      </c>
      <c r="N1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140" s="1">
        <f>F:F/I:I</f>
        <v>5.2872340425531918</v>
      </c>
    </row>
    <row r="141" spans="1:15" x14ac:dyDescent="0.3">
      <c r="A141">
        <v>140</v>
      </c>
      <c r="B141">
        <v>53</v>
      </c>
      <c r="C141" t="s">
        <v>11</v>
      </c>
      <c r="D141" t="s">
        <v>15</v>
      </c>
      <c r="E141" t="s">
        <v>13</v>
      </c>
      <c r="F141">
        <v>516</v>
      </c>
      <c r="G141">
        <v>11.1</v>
      </c>
      <c r="H141">
        <v>2429</v>
      </c>
      <c r="I141">
        <v>91</v>
      </c>
      <c r="J141">
        <v>1796</v>
      </c>
      <c r="K141">
        <v>5</v>
      </c>
      <c r="L141" t="s">
        <v>38</v>
      </c>
      <c r="M141" s="2">
        <f t="shared" si="2"/>
        <v>218.82882882882885</v>
      </c>
      <c r="N1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41" s="1">
        <f>F:F/I:I</f>
        <v>5.6703296703296706</v>
      </c>
    </row>
    <row r="142" spans="1:15" x14ac:dyDescent="0.3">
      <c r="A142">
        <v>141</v>
      </c>
      <c r="B142">
        <v>50</v>
      </c>
      <c r="C142" t="s">
        <v>14</v>
      </c>
      <c r="D142" t="s">
        <v>12</v>
      </c>
      <c r="E142" t="s">
        <v>13</v>
      </c>
      <c r="F142">
        <v>219</v>
      </c>
      <c r="G142">
        <v>5.2</v>
      </c>
      <c r="H142">
        <v>1510</v>
      </c>
      <c r="I142">
        <v>42</v>
      </c>
      <c r="J142">
        <v>655</v>
      </c>
      <c r="K142">
        <v>3</v>
      </c>
      <c r="L142" t="s">
        <v>38</v>
      </c>
      <c r="M142" s="2">
        <f t="shared" si="2"/>
        <v>290.38461538461536</v>
      </c>
      <c r="N1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42" s="1">
        <f>F:F/I:I</f>
        <v>5.2142857142857144</v>
      </c>
    </row>
    <row r="143" spans="1:15" x14ac:dyDescent="0.3">
      <c r="A143">
        <v>142</v>
      </c>
      <c r="B143">
        <v>51</v>
      </c>
      <c r="C143" t="s">
        <v>11</v>
      </c>
      <c r="D143" t="s">
        <v>15</v>
      </c>
      <c r="E143" t="s">
        <v>13</v>
      </c>
      <c r="F143">
        <v>448</v>
      </c>
      <c r="G143">
        <v>6.3</v>
      </c>
      <c r="H143">
        <v>2044</v>
      </c>
      <c r="I143">
        <v>71</v>
      </c>
      <c r="J143">
        <v>1337</v>
      </c>
      <c r="K143">
        <v>4</v>
      </c>
      <c r="L143" t="s">
        <v>38</v>
      </c>
      <c r="M143" s="2">
        <f t="shared" si="2"/>
        <v>324.44444444444446</v>
      </c>
      <c r="N1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43" s="1">
        <f>F:F/I:I</f>
        <v>6.3098591549295771</v>
      </c>
    </row>
    <row r="144" spans="1:15" x14ac:dyDescent="0.3">
      <c r="A144">
        <v>143</v>
      </c>
      <c r="B144">
        <v>57</v>
      </c>
      <c r="C144" t="s">
        <v>14</v>
      </c>
      <c r="D144" t="s">
        <v>18</v>
      </c>
      <c r="E144" t="s">
        <v>19</v>
      </c>
      <c r="F144">
        <v>156</v>
      </c>
      <c r="G144">
        <v>2.2000000000000002</v>
      </c>
      <c r="H144">
        <v>896</v>
      </c>
      <c r="I144">
        <v>37</v>
      </c>
      <c r="J144">
        <v>429</v>
      </c>
      <c r="K144">
        <v>2</v>
      </c>
      <c r="L144" t="s">
        <v>37</v>
      </c>
      <c r="M144" s="2">
        <f t="shared" si="2"/>
        <v>407.27272727272725</v>
      </c>
      <c r="N1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44" s="1">
        <f>F:F/I:I</f>
        <v>4.2162162162162158</v>
      </c>
    </row>
    <row r="145" spans="1:15" x14ac:dyDescent="0.3">
      <c r="A145">
        <v>144</v>
      </c>
      <c r="B145">
        <v>29</v>
      </c>
      <c r="C145" t="s">
        <v>11</v>
      </c>
      <c r="D145" t="s">
        <v>16</v>
      </c>
      <c r="E145" t="s">
        <v>13</v>
      </c>
      <c r="F145">
        <v>68</v>
      </c>
      <c r="G145">
        <v>1.1000000000000001</v>
      </c>
      <c r="H145">
        <v>528</v>
      </c>
      <c r="I145">
        <v>12</v>
      </c>
      <c r="J145">
        <v>201</v>
      </c>
      <c r="K145">
        <v>1</v>
      </c>
      <c r="L145" t="s">
        <v>36</v>
      </c>
      <c r="M145" s="2">
        <f t="shared" si="2"/>
        <v>479.99999999999994</v>
      </c>
      <c r="N1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45" s="1">
        <f>F:F/I:I</f>
        <v>5.666666666666667</v>
      </c>
    </row>
    <row r="146" spans="1:15" x14ac:dyDescent="0.3">
      <c r="A146">
        <v>145</v>
      </c>
      <c r="B146">
        <v>29</v>
      </c>
      <c r="C146" t="s">
        <v>14</v>
      </c>
      <c r="D146" t="s">
        <v>18</v>
      </c>
      <c r="E146" t="s">
        <v>19</v>
      </c>
      <c r="F146">
        <v>524</v>
      </c>
      <c r="G146">
        <v>11.2</v>
      </c>
      <c r="H146">
        <v>2417</v>
      </c>
      <c r="I146">
        <v>90</v>
      </c>
      <c r="J146">
        <v>2069</v>
      </c>
      <c r="K146">
        <v>5</v>
      </c>
      <c r="L146" t="s">
        <v>36</v>
      </c>
      <c r="M146" s="2">
        <f t="shared" si="2"/>
        <v>215.80357142857144</v>
      </c>
      <c r="N1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46" s="1">
        <f>F:F/I:I</f>
        <v>5.822222222222222</v>
      </c>
    </row>
    <row r="147" spans="1:15" x14ac:dyDescent="0.3">
      <c r="A147">
        <v>146</v>
      </c>
      <c r="B147">
        <v>35</v>
      </c>
      <c r="C147" t="s">
        <v>11</v>
      </c>
      <c r="D147" t="s">
        <v>18</v>
      </c>
      <c r="E147" t="s">
        <v>19</v>
      </c>
      <c r="F147">
        <v>188</v>
      </c>
      <c r="G147">
        <v>5.3</v>
      </c>
      <c r="H147">
        <v>1281</v>
      </c>
      <c r="I147">
        <v>45</v>
      </c>
      <c r="J147">
        <v>974</v>
      </c>
      <c r="K147">
        <v>3</v>
      </c>
      <c r="L147" t="s">
        <v>35</v>
      </c>
      <c r="M147" s="2">
        <f t="shared" si="2"/>
        <v>241.69811320754718</v>
      </c>
      <c r="N1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47" s="1">
        <f>F:F/I:I</f>
        <v>4.177777777777778</v>
      </c>
    </row>
    <row r="148" spans="1:15" x14ac:dyDescent="0.3">
      <c r="A148">
        <v>147</v>
      </c>
      <c r="B148">
        <v>33</v>
      </c>
      <c r="C148" t="s">
        <v>11</v>
      </c>
      <c r="D148" t="s">
        <v>16</v>
      </c>
      <c r="E148" t="s">
        <v>13</v>
      </c>
      <c r="F148">
        <v>443</v>
      </c>
      <c r="G148">
        <v>7.4</v>
      </c>
      <c r="H148">
        <v>2289</v>
      </c>
      <c r="I148">
        <v>73</v>
      </c>
      <c r="J148">
        <v>1026</v>
      </c>
      <c r="K148">
        <v>4</v>
      </c>
      <c r="L148" t="s">
        <v>40</v>
      </c>
      <c r="M148" s="2">
        <f t="shared" si="2"/>
        <v>309.32432432432432</v>
      </c>
      <c r="N1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48" s="1">
        <f>F:F/I:I</f>
        <v>6.0684931506849313</v>
      </c>
    </row>
    <row r="149" spans="1:15" x14ac:dyDescent="0.3">
      <c r="A149">
        <v>148</v>
      </c>
      <c r="B149">
        <v>24</v>
      </c>
      <c r="C149" t="s">
        <v>11</v>
      </c>
      <c r="D149" t="s">
        <v>12</v>
      </c>
      <c r="E149" t="s">
        <v>13</v>
      </c>
      <c r="F149">
        <v>52</v>
      </c>
      <c r="G149">
        <v>1.6</v>
      </c>
      <c r="H149">
        <v>385</v>
      </c>
      <c r="I149">
        <v>19</v>
      </c>
      <c r="J149">
        <v>234</v>
      </c>
      <c r="K149">
        <v>1</v>
      </c>
      <c r="L149" t="s">
        <v>39</v>
      </c>
      <c r="M149" s="2">
        <f t="shared" si="2"/>
        <v>240.625</v>
      </c>
      <c r="N1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49" s="1">
        <f>F:F/I:I</f>
        <v>2.736842105263158</v>
      </c>
    </row>
    <row r="150" spans="1:15" x14ac:dyDescent="0.3">
      <c r="A150">
        <v>149</v>
      </c>
      <c r="B150">
        <v>56</v>
      </c>
      <c r="C150" t="s">
        <v>11</v>
      </c>
      <c r="D150" t="s">
        <v>17</v>
      </c>
      <c r="E150" t="s">
        <v>13</v>
      </c>
      <c r="F150">
        <v>228</v>
      </c>
      <c r="G150">
        <v>4.2</v>
      </c>
      <c r="H150">
        <v>1677</v>
      </c>
      <c r="I150">
        <v>58</v>
      </c>
      <c r="J150">
        <v>823</v>
      </c>
      <c r="K150">
        <v>3</v>
      </c>
      <c r="L150" t="s">
        <v>37</v>
      </c>
      <c r="M150" s="2">
        <f t="shared" si="2"/>
        <v>399.28571428571428</v>
      </c>
      <c r="N1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50" s="1">
        <f>F:F/I:I</f>
        <v>3.9310344827586206</v>
      </c>
    </row>
    <row r="151" spans="1:15" x14ac:dyDescent="0.3">
      <c r="A151">
        <v>150</v>
      </c>
      <c r="B151">
        <v>51</v>
      </c>
      <c r="C151" t="s">
        <v>11</v>
      </c>
      <c r="D151" t="s">
        <v>15</v>
      </c>
      <c r="E151" t="s">
        <v>13</v>
      </c>
      <c r="F151">
        <v>149</v>
      </c>
      <c r="G151">
        <v>3.7</v>
      </c>
      <c r="H151">
        <v>873</v>
      </c>
      <c r="I151">
        <v>34</v>
      </c>
      <c r="J151">
        <v>459</v>
      </c>
      <c r="K151">
        <v>2</v>
      </c>
      <c r="L151" t="s">
        <v>38</v>
      </c>
      <c r="M151" s="2">
        <f t="shared" si="2"/>
        <v>235.94594594594594</v>
      </c>
      <c r="N1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51" s="1">
        <f>F:F/I:I</f>
        <v>4.382352941176471</v>
      </c>
    </row>
    <row r="152" spans="1:15" x14ac:dyDescent="0.3">
      <c r="A152">
        <v>151</v>
      </c>
      <c r="B152">
        <v>21</v>
      </c>
      <c r="C152" t="s">
        <v>11</v>
      </c>
      <c r="D152" t="s">
        <v>18</v>
      </c>
      <c r="E152" t="s">
        <v>19</v>
      </c>
      <c r="F152">
        <v>523</v>
      </c>
      <c r="G152">
        <v>9.4</v>
      </c>
      <c r="H152">
        <v>2583</v>
      </c>
      <c r="I152">
        <v>92</v>
      </c>
      <c r="J152">
        <v>1539</v>
      </c>
      <c r="K152">
        <v>5</v>
      </c>
      <c r="L152" t="s">
        <v>39</v>
      </c>
      <c r="M152" s="2">
        <f t="shared" si="2"/>
        <v>274.78723404255317</v>
      </c>
      <c r="N1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52" s="1">
        <f>F:F/I:I</f>
        <v>5.6847826086956523</v>
      </c>
    </row>
    <row r="153" spans="1:15" x14ac:dyDescent="0.3">
      <c r="A153">
        <v>152</v>
      </c>
      <c r="B153">
        <v>52</v>
      </c>
      <c r="C153" t="s">
        <v>14</v>
      </c>
      <c r="D153" t="s">
        <v>16</v>
      </c>
      <c r="E153" t="s">
        <v>13</v>
      </c>
      <c r="F153">
        <v>42</v>
      </c>
      <c r="G153">
        <v>1.6</v>
      </c>
      <c r="H153">
        <v>315</v>
      </c>
      <c r="I153">
        <v>19</v>
      </c>
      <c r="J153">
        <v>207</v>
      </c>
      <c r="K153">
        <v>1</v>
      </c>
      <c r="L153" t="s">
        <v>38</v>
      </c>
      <c r="M153" s="2">
        <f t="shared" si="2"/>
        <v>196.875</v>
      </c>
      <c r="N1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53" s="1">
        <f>F:F/I:I</f>
        <v>2.2105263157894739</v>
      </c>
    </row>
    <row r="154" spans="1:15" x14ac:dyDescent="0.3">
      <c r="A154">
        <v>153</v>
      </c>
      <c r="B154">
        <v>56</v>
      </c>
      <c r="C154" t="s">
        <v>14</v>
      </c>
      <c r="D154" t="s">
        <v>15</v>
      </c>
      <c r="E154" t="s">
        <v>13</v>
      </c>
      <c r="F154">
        <v>120</v>
      </c>
      <c r="G154">
        <v>2</v>
      </c>
      <c r="H154">
        <v>741</v>
      </c>
      <c r="I154">
        <v>38</v>
      </c>
      <c r="J154">
        <v>396</v>
      </c>
      <c r="K154">
        <v>2</v>
      </c>
      <c r="L154" t="s">
        <v>37</v>
      </c>
      <c r="M154" s="2">
        <f t="shared" si="2"/>
        <v>370.5</v>
      </c>
      <c r="N1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54" s="1">
        <f>F:F/I:I</f>
        <v>3.1578947368421053</v>
      </c>
    </row>
    <row r="155" spans="1:15" x14ac:dyDescent="0.3">
      <c r="A155">
        <v>154</v>
      </c>
      <c r="B155">
        <v>27</v>
      </c>
      <c r="C155" t="s">
        <v>14</v>
      </c>
      <c r="D155" t="s">
        <v>17</v>
      </c>
      <c r="E155" t="s">
        <v>13</v>
      </c>
      <c r="F155">
        <v>329</v>
      </c>
      <c r="G155">
        <v>7.5</v>
      </c>
      <c r="H155">
        <v>2277</v>
      </c>
      <c r="I155">
        <v>72</v>
      </c>
      <c r="J155">
        <v>1185</v>
      </c>
      <c r="K155">
        <v>4</v>
      </c>
      <c r="L155" t="s">
        <v>36</v>
      </c>
      <c r="M155" s="2">
        <f t="shared" si="2"/>
        <v>303.60000000000002</v>
      </c>
      <c r="N1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55" s="1">
        <f>F:F/I:I</f>
        <v>4.5694444444444446</v>
      </c>
    </row>
    <row r="156" spans="1:15" x14ac:dyDescent="0.3">
      <c r="A156">
        <v>155</v>
      </c>
      <c r="B156">
        <v>31</v>
      </c>
      <c r="C156" t="s">
        <v>14</v>
      </c>
      <c r="D156" t="s">
        <v>12</v>
      </c>
      <c r="E156" t="s">
        <v>13</v>
      </c>
      <c r="F156">
        <v>68</v>
      </c>
      <c r="G156">
        <v>1.5</v>
      </c>
      <c r="H156">
        <v>364</v>
      </c>
      <c r="I156">
        <v>10</v>
      </c>
      <c r="J156">
        <v>102</v>
      </c>
      <c r="K156">
        <v>1</v>
      </c>
      <c r="L156" t="s">
        <v>40</v>
      </c>
      <c r="M156" s="2">
        <f t="shared" si="2"/>
        <v>242.66666666666666</v>
      </c>
      <c r="N1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56" s="1">
        <f>F:F/I:I</f>
        <v>6.8</v>
      </c>
    </row>
    <row r="157" spans="1:15" x14ac:dyDescent="0.3">
      <c r="A157">
        <v>156</v>
      </c>
      <c r="B157">
        <v>32</v>
      </c>
      <c r="C157" t="s">
        <v>11</v>
      </c>
      <c r="D157" t="s">
        <v>12</v>
      </c>
      <c r="E157" t="s">
        <v>13</v>
      </c>
      <c r="F157">
        <v>158</v>
      </c>
      <c r="G157">
        <v>3.4</v>
      </c>
      <c r="H157">
        <v>893</v>
      </c>
      <c r="I157">
        <v>36</v>
      </c>
      <c r="J157">
        <v>493</v>
      </c>
      <c r="K157">
        <v>2</v>
      </c>
      <c r="L157" t="s">
        <v>40</v>
      </c>
      <c r="M157" s="2">
        <f t="shared" si="2"/>
        <v>262.64705882352939</v>
      </c>
      <c r="N1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57" s="1">
        <f>F:F/I:I</f>
        <v>4.3888888888888893</v>
      </c>
    </row>
    <row r="158" spans="1:15" x14ac:dyDescent="0.3">
      <c r="A158">
        <v>157</v>
      </c>
      <c r="B158">
        <v>54</v>
      </c>
      <c r="C158" t="s">
        <v>11</v>
      </c>
      <c r="D158" t="s">
        <v>12</v>
      </c>
      <c r="E158" t="s">
        <v>13</v>
      </c>
      <c r="F158">
        <v>86</v>
      </c>
      <c r="G158">
        <v>1.7</v>
      </c>
      <c r="H158">
        <v>439</v>
      </c>
      <c r="I158">
        <v>19</v>
      </c>
      <c r="J158">
        <v>136</v>
      </c>
      <c r="K158">
        <v>1</v>
      </c>
      <c r="L158" t="s">
        <v>38</v>
      </c>
      <c r="M158" s="2">
        <f t="shared" si="2"/>
        <v>258.23529411764707</v>
      </c>
      <c r="N1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58" s="1">
        <f>F:F/I:I</f>
        <v>4.5263157894736841</v>
      </c>
    </row>
    <row r="159" spans="1:15" x14ac:dyDescent="0.3">
      <c r="A159">
        <v>158</v>
      </c>
      <c r="B159">
        <v>51</v>
      </c>
      <c r="C159" t="s">
        <v>11</v>
      </c>
      <c r="D159" t="s">
        <v>12</v>
      </c>
      <c r="E159" t="s">
        <v>13</v>
      </c>
      <c r="F159">
        <v>339</v>
      </c>
      <c r="G159">
        <v>7.8</v>
      </c>
      <c r="H159">
        <v>2102</v>
      </c>
      <c r="I159">
        <v>71</v>
      </c>
      <c r="J159">
        <v>1062</v>
      </c>
      <c r="K159">
        <v>4</v>
      </c>
      <c r="L159" t="s">
        <v>38</v>
      </c>
      <c r="M159" s="2">
        <f t="shared" si="2"/>
        <v>269.4871794871795</v>
      </c>
      <c r="N1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59" s="1">
        <f>F:F/I:I</f>
        <v>4.774647887323944</v>
      </c>
    </row>
    <row r="160" spans="1:15" x14ac:dyDescent="0.3">
      <c r="A160">
        <v>159</v>
      </c>
      <c r="B160">
        <v>51</v>
      </c>
      <c r="C160" t="s">
        <v>11</v>
      </c>
      <c r="D160" t="s">
        <v>16</v>
      </c>
      <c r="E160" t="s">
        <v>13</v>
      </c>
      <c r="F160">
        <v>304</v>
      </c>
      <c r="G160">
        <v>6.5</v>
      </c>
      <c r="H160">
        <v>2375</v>
      </c>
      <c r="I160">
        <v>79</v>
      </c>
      <c r="J160">
        <v>1493</v>
      </c>
      <c r="K160">
        <v>4</v>
      </c>
      <c r="L160" t="s">
        <v>38</v>
      </c>
      <c r="M160" s="2">
        <f t="shared" si="2"/>
        <v>365.38461538461536</v>
      </c>
      <c r="N1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60" s="1">
        <f>F:F/I:I</f>
        <v>3.8481012658227849</v>
      </c>
    </row>
    <row r="161" spans="1:15" x14ac:dyDescent="0.3">
      <c r="A161">
        <v>160</v>
      </c>
      <c r="B161">
        <v>40</v>
      </c>
      <c r="C161" t="s">
        <v>11</v>
      </c>
      <c r="D161" t="s">
        <v>12</v>
      </c>
      <c r="E161" t="s">
        <v>13</v>
      </c>
      <c r="F161">
        <v>131</v>
      </c>
      <c r="G161">
        <v>2.4</v>
      </c>
      <c r="H161">
        <v>859</v>
      </c>
      <c r="I161">
        <v>26</v>
      </c>
      <c r="J161">
        <v>305</v>
      </c>
      <c r="K161">
        <v>2</v>
      </c>
      <c r="L161" t="s">
        <v>34</v>
      </c>
      <c r="M161" s="2">
        <f t="shared" si="2"/>
        <v>357.91666666666669</v>
      </c>
      <c r="N1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61" s="1">
        <f>F:F/I:I</f>
        <v>5.0384615384615383</v>
      </c>
    </row>
    <row r="162" spans="1:15" x14ac:dyDescent="0.3">
      <c r="A162">
        <v>161</v>
      </c>
      <c r="B162">
        <v>35</v>
      </c>
      <c r="C162" t="s">
        <v>14</v>
      </c>
      <c r="D162" t="s">
        <v>16</v>
      </c>
      <c r="E162" t="s">
        <v>13</v>
      </c>
      <c r="F162">
        <v>64</v>
      </c>
      <c r="G162">
        <v>1.6</v>
      </c>
      <c r="H162">
        <v>540</v>
      </c>
      <c r="I162">
        <v>19</v>
      </c>
      <c r="J162">
        <v>262</v>
      </c>
      <c r="K162">
        <v>1</v>
      </c>
      <c r="L162" t="s">
        <v>35</v>
      </c>
      <c r="M162" s="2">
        <f t="shared" si="2"/>
        <v>337.5</v>
      </c>
      <c r="N1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62" s="1">
        <f>F:F/I:I</f>
        <v>3.3684210526315788</v>
      </c>
    </row>
    <row r="163" spans="1:15" x14ac:dyDescent="0.3">
      <c r="A163">
        <v>162</v>
      </c>
      <c r="B163">
        <v>42</v>
      </c>
      <c r="C163" t="s">
        <v>11</v>
      </c>
      <c r="D163" t="s">
        <v>12</v>
      </c>
      <c r="E163" t="s">
        <v>13</v>
      </c>
      <c r="F163">
        <v>53</v>
      </c>
      <c r="G163">
        <v>1.9</v>
      </c>
      <c r="H163">
        <v>526</v>
      </c>
      <c r="I163">
        <v>15</v>
      </c>
      <c r="J163">
        <v>112</v>
      </c>
      <c r="K163">
        <v>1</v>
      </c>
      <c r="L163" t="s">
        <v>34</v>
      </c>
      <c r="M163" s="2">
        <f t="shared" si="2"/>
        <v>276.84210526315792</v>
      </c>
      <c r="N1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63" s="1">
        <f>F:F/I:I</f>
        <v>3.5333333333333332</v>
      </c>
    </row>
    <row r="164" spans="1:15" x14ac:dyDescent="0.3">
      <c r="A164">
        <v>163</v>
      </c>
      <c r="B164">
        <v>45</v>
      </c>
      <c r="C164" t="s">
        <v>11</v>
      </c>
      <c r="D164" t="s">
        <v>15</v>
      </c>
      <c r="E164" t="s">
        <v>13</v>
      </c>
      <c r="F164">
        <v>442</v>
      </c>
      <c r="G164">
        <v>7.7</v>
      </c>
      <c r="H164">
        <v>2067</v>
      </c>
      <c r="I164">
        <v>69</v>
      </c>
      <c r="J164">
        <v>1440</v>
      </c>
      <c r="K164">
        <v>4</v>
      </c>
      <c r="L164" t="s">
        <v>41</v>
      </c>
      <c r="M164" s="2">
        <f t="shared" si="2"/>
        <v>268.44155844155841</v>
      </c>
      <c r="N1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64" s="1">
        <f>F:F/I:I</f>
        <v>6.4057971014492754</v>
      </c>
    </row>
    <row r="165" spans="1:15" x14ac:dyDescent="0.3">
      <c r="A165">
        <v>164</v>
      </c>
      <c r="B165">
        <v>22</v>
      </c>
      <c r="C165" t="s">
        <v>11</v>
      </c>
      <c r="D165" t="s">
        <v>18</v>
      </c>
      <c r="E165" t="s">
        <v>19</v>
      </c>
      <c r="F165">
        <v>32</v>
      </c>
      <c r="G165">
        <v>2</v>
      </c>
      <c r="H165">
        <v>469</v>
      </c>
      <c r="I165">
        <v>18</v>
      </c>
      <c r="J165">
        <v>139</v>
      </c>
      <c r="K165">
        <v>1</v>
      </c>
      <c r="L165" t="s">
        <v>39</v>
      </c>
      <c r="M165" s="2">
        <f t="shared" si="2"/>
        <v>234.5</v>
      </c>
      <c r="N1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65" s="1">
        <f>F:F/I:I</f>
        <v>1.7777777777777777</v>
      </c>
    </row>
    <row r="166" spans="1:15" x14ac:dyDescent="0.3">
      <c r="A166">
        <v>165</v>
      </c>
      <c r="B166">
        <v>43</v>
      </c>
      <c r="C166" t="s">
        <v>14</v>
      </c>
      <c r="D166" t="s">
        <v>12</v>
      </c>
      <c r="E166" t="s">
        <v>13</v>
      </c>
      <c r="F166">
        <v>278</v>
      </c>
      <c r="G166">
        <v>4.8</v>
      </c>
      <c r="H166">
        <v>1238</v>
      </c>
      <c r="I166">
        <v>48</v>
      </c>
      <c r="J166">
        <v>851</v>
      </c>
      <c r="K166">
        <v>3</v>
      </c>
      <c r="L166" t="s">
        <v>34</v>
      </c>
      <c r="M166" s="2">
        <f t="shared" si="2"/>
        <v>257.91666666666669</v>
      </c>
      <c r="N1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66" s="1">
        <f>F:F/I:I</f>
        <v>5.791666666666667</v>
      </c>
    </row>
    <row r="167" spans="1:15" x14ac:dyDescent="0.3">
      <c r="A167">
        <v>166</v>
      </c>
      <c r="B167">
        <v>49</v>
      </c>
      <c r="C167" t="s">
        <v>14</v>
      </c>
      <c r="D167" t="s">
        <v>12</v>
      </c>
      <c r="E167" t="s">
        <v>13</v>
      </c>
      <c r="F167">
        <v>540</v>
      </c>
      <c r="G167">
        <v>8.4</v>
      </c>
      <c r="H167">
        <v>2993</v>
      </c>
      <c r="I167">
        <v>98</v>
      </c>
      <c r="J167">
        <v>1540</v>
      </c>
      <c r="K167">
        <v>5</v>
      </c>
      <c r="L167" t="s">
        <v>41</v>
      </c>
      <c r="M167" s="2">
        <f t="shared" si="2"/>
        <v>356.3095238095238</v>
      </c>
      <c r="N1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67" s="1">
        <f>F:F/I:I</f>
        <v>5.5102040816326534</v>
      </c>
    </row>
    <row r="168" spans="1:15" x14ac:dyDescent="0.3">
      <c r="A168">
        <v>167</v>
      </c>
      <c r="B168">
        <v>30</v>
      </c>
      <c r="C168" t="s">
        <v>11</v>
      </c>
      <c r="D168" t="s">
        <v>15</v>
      </c>
      <c r="E168" t="s">
        <v>13</v>
      </c>
      <c r="F168">
        <v>595</v>
      </c>
      <c r="G168">
        <v>11.3</v>
      </c>
      <c r="H168">
        <v>2968</v>
      </c>
      <c r="I168">
        <v>88</v>
      </c>
      <c r="J168">
        <v>2366</v>
      </c>
      <c r="K168">
        <v>5</v>
      </c>
      <c r="L168" t="s">
        <v>40</v>
      </c>
      <c r="M168" s="2">
        <f t="shared" si="2"/>
        <v>262.65486725663715</v>
      </c>
      <c r="N1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68" s="1">
        <f>F:F/I:I</f>
        <v>6.7613636363636367</v>
      </c>
    </row>
    <row r="169" spans="1:15" x14ac:dyDescent="0.3">
      <c r="A169">
        <v>168</v>
      </c>
      <c r="B169">
        <v>58</v>
      </c>
      <c r="C169" t="s">
        <v>11</v>
      </c>
      <c r="D169" t="s">
        <v>15</v>
      </c>
      <c r="E169" t="s">
        <v>13</v>
      </c>
      <c r="F169">
        <v>35</v>
      </c>
      <c r="G169">
        <v>1.5</v>
      </c>
      <c r="H169">
        <v>467</v>
      </c>
      <c r="I169">
        <v>10</v>
      </c>
      <c r="J169">
        <v>158</v>
      </c>
      <c r="K169">
        <v>1</v>
      </c>
      <c r="L169" t="s">
        <v>37</v>
      </c>
      <c r="M169" s="2">
        <f t="shared" si="2"/>
        <v>311.33333333333331</v>
      </c>
      <c r="N1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69" s="1">
        <f>F:F/I:I</f>
        <v>3.5</v>
      </c>
    </row>
    <row r="170" spans="1:15" x14ac:dyDescent="0.3">
      <c r="A170">
        <v>169</v>
      </c>
      <c r="B170">
        <v>55</v>
      </c>
      <c r="C170" t="s">
        <v>14</v>
      </c>
      <c r="D170" t="s">
        <v>15</v>
      </c>
      <c r="E170" t="s">
        <v>13</v>
      </c>
      <c r="F170">
        <v>225</v>
      </c>
      <c r="G170">
        <v>5.4</v>
      </c>
      <c r="H170">
        <v>1370</v>
      </c>
      <c r="I170">
        <v>44</v>
      </c>
      <c r="J170">
        <v>791</v>
      </c>
      <c r="K170">
        <v>3</v>
      </c>
      <c r="L170" t="s">
        <v>37</v>
      </c>
      <c r="M170" s="2">
        <f t="shared" si="2"/>
        <v>253.7037037037037</v>
      </c>
      <c r="N1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70" s="1">
        <f>F:F/I:I</f>
        <v>5.1136363636363633</v>
      </c>
    </row>
    <row r="171" spans="1:15" x14ac:dyDescent="0.3">
      <c r="A171">
        <v>170</v>
      </c>
      <c r="B171">
        <v>47</v>
      </c>
      <c r="C171" t="s">
        <v>11</v>
      </c>
      <c r="D171" t="s">
        <v>15</v>
      </c>
      <c r="E171" t="s">
        <v>13</v>
      </c>
      <c r="F171">
        <v>587</v>
      </c>
      <c r="G171">
        <v>11.8</v>
      </c>
      <c r="H171">
        <v>2431</v>
      </c>
      <c r="I171">
        <v>90</v>
      </c>
      <c r="J171">
        <v>1894</v>
      </c>
      <c r="K171">
        <v>5</v>
      </c>
      <c r="L171" t="s">
        <v>41</v>
      </c>
      <c r="M171" s="2">
        <f t="shared" si="2"/>
        <v>206.01694915254237</v>
      </c>
      <c r="N1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71" s="1">
        <f>F:F/I:I</f>
        <v>6.5222222222222221</v>
      </c>
    </row>
    <row r="172" spans="1:15" x14ac:dyDescent="0.3">
      <c r="A172">
        <v>171</v>
      </c>
      <c r="B172">
        <v>44</v>
      </c>
      <c r="C172" t="s">
        <v>11</v>
      </c>
      <c r="D172" t="s">
        <v>12</v>
      </c>
      <c r="E172" t="s">
        <v>13</v>
      </c>
      <c r="F172">
        <v>92</v>
      </c>
      <c r="G172">
        <v>3.7</v>
      </c>
      <c r="H172">
        <v>1124</v>
      </c>
      <c r="I172">
        <v>27</v>
      </c>
      <c r="J172">
        <v>524</v>
      </c>
      <c r="K172">
        <v>2</v>
      </c>
      <c r="L172" t="s">
        <v>34</v>
      </c>
      <c r="M172" s="2">
        <f t="shared" si="2"/>
        <v>303.78378378378375</v>
      </c>
      <c r="N1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72" s="1">
        <f>F:F/I:I</f>
        <v>3.4074074074074074</v>
      </c>
    </row>
    <row r="173" spans="1:15" x14ac:dyDescent="0.3">
      <c r="A173">
        <v>172</v>
      </c>
      <c r="B173">
        <v>23</v>
      </c>
      <c r="C173" t="s">
        <v>11</v>
      </c>
      <c r="D173" t="s">
        <v>15</v>
      </c>
      <c r="E173" t="s">
        <v>13</v>
      </c>
      <c r="F173">
        <v>46</v>
      </c>
      <c r="G173">
        <v>1.1000000000000001</v>
      </c>
      <c r="H173">
        <v>487</v>
      </c>
      <c r="I173">
        <v>17</v>
      </c>
      <c r="J173">
        <v>208</v>
      </c>
      <c r="K173">
        <v>1</v>
      </c>
      <c r="L173" t="s">
        <v>39</v>
      </c>
      <c r="M173" s="2">
        <f t="shared" si="2"/>
        <v>442.72727272727269</v>
      </c>
      <c r="N1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73" s="1">
        <f>F:F/I:I</f>
        <v>2.7058823529411766</v>
      </c>
    </row>
    <row r="174" spans="1:15" x14ac:dyDescent="0.3">
      <c r="A174">
        <v>173</v>
      </c>
      <c r="B174">
        <v>37</v>
      </c>
      <c r="C174" t="s">
        <v>14</v>
      </c>
      <c r="D174" t="s">
        <v>17</v>
      </c>
      <c r="E174" t="s">
        <v>13</v>
      </c>
      <c r="F174">
        <v>153</v>
      </c>
      <c r="G174">
        <v>2.8</v>
      </c>
      <c r="H174">
        <v>935</v>
      </c>
      <c r="I174">
        <v>25</v>
      </c>
      <c r="J174">
        <v>578</v>
      </c>
      <c r="K174">
        <v>2</v>
      </c>
      <c r="L174" t="s">
        <v>35</v>
      </c>
      <c r="M174" s="2">
        <f t="shared" si="2"/>
        <v>333.92857142857144</v>
      </c>
      <c r="N1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74" s="1">
        <f>F:F/I:I</f>
        <v>6.12</v>
      </c>
    </row>
    <row r="175" spans="1:15" x14ac:dyDescent="0.3">
      <c r="A175">
        <v>174</v>
      </c>
      <c r="B175">
        <v>27</v>
      </c>
      <c r="C175" t="s">
        <v>14</v>
      </c>
      <c r="D175" t="s">
        <v>18</v>
      </c>
      <c r="E175" t="s">
        <v>19</v>
      </c>
      <c r="F175">
        <v>368</v>
      </c>
      <c r="G175">
        <v>6.6</v>
      </c>
      <c r="H175">
        <v>1817</v>
      </c>
      <c r="I175">
        <v>72</v>
      </c>
      <c r="J175">
        <v>1406</v>
      </c>
      <c r="K175">
        <v>4</v>
      </c>
      <c r="L175" t="s">
        <v>36</v>
      </c>
      <c r="M175" s="2">
        <f t="shared" si="2"/>
        <v>275.30303030303031</v>
      </c>
      <c r="N1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75" s="1">
        <f>F:F/I:I</f>
        <v>5.1111111111111107</v>
      </c>
    </row>
    <row r="176" spans="1:15" x14ac:dyDescent="0.3">
      <c r="A176">
        <v>175</v>
      </c>
      <c r="B176">
        <v>29</v>
      </c>
      <c r="C176" t="s">
        <v>14</v>
      </c>
      <c r="D176" t="s">
        <v>12</v>
      </c>
      <c r="E176" t="s">
        <v>13</v>
      </c>
      <c r="F176">
        <v>51</v>
      </c>
      <c r="G176">
        <v>1.6</v>
      </c>
      <c r="H176">
        <v>509</v>
      </c>
      <c r="I176">
        <v>11</v>
      </c>
      <c r="J176">
        <v>113</v>
      </c>
      <c r="K176">
        <v>1</v>
      </c>
      <c r="L176" t="s">
        <v>36</v>
      </c>
      <c r="M176" s="2">
        <f t="shared" si="2"/>
        <v>318.125</v>
      </c>
      <c r="N1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176" s="1">
        <f>F:F/I:I</f>
        <v>4.6363636363636367</v>
      </c>
    </row>
    <row r="177" spans="1:15" x14ac:dyDescent="0.3">
      <c r="A177">
        <v>176</v>
      </c>
      <c r="B177">
        <v>50</v>
      </c>
      <c r="C177" t="s">
        <v>14</v>
      </c>
      <c r="D177" t="s">
        <v>15</v>
      </c>
      <c r="E177" t="s">
        <v>13</v>
      </c>
      <c r="F177">
        <v>279</v>
      </c>
      <c r="G177">
        <v>5.2</v>
      </c>
      <c r="H177">
        <v>1660</v>
      </c>
      <c r="I177">
        <v>47</v>
      </c>
      <c r="J177">
        <v>629</v>
      </c>
      <c r="K177">
        <v>3</v>
      </c>
      <c r="L177" t="s">
        <v>38</v>
      </c>
      <c r="M177" s="2">
        <f t="shared" si="2"/>
        <v>319.23076923076923</v>
      </c>
      <c r="N1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177" s="1">
        <f>F:F/I:I</f>
        <v>5.9361702127659575</v>
      </c>
    </row>
    <row r="178" spans="1:15" x14ac:dyDescent="0.3">
      <c r="A178">
        <v>177</v>
      </c>
      <c r="B178">
        <v>21</v>
      </c>
      <c r="C178" t="s">
        <v>11</v>
      </c>
      <c r="D178" t="s">
        <v>12</v>
      </c>
      <c r="E178" t="s">
        <v>13</v>
      </c>
      <c r="F178">
        <v>255</v>
      </c>
      <c r="G178">
        <v>5.4</v>
      </c>
      <c r="H178">
        <v>1738</v>
      </c>
      <c r="I178">
        <v>42</v>
      </c>
      <c r="J178">
        <v>826</v>
      </c>
      <c r="K178">
        <v>3</v>
      </c>
      <c r="L178" t="s">
        <v>39</v>
      </c>
      <c r="M178" s="2">
        <f t="shared" si="2"/>
        <v>321.85185185185185</v>
      </c>
      <c r="N1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78" s="1">
        <f>F:F/I:I</f>
        <v>6.0714285714285712</v>
      </c>
    </row>
    <row r="179" spans="1:15" x14ac:dyDescent="0.3">
      <c r="A179">
        <v>178</v>
      </c>
      <c r="B179">
        <v>31</v>
      </c>
      <c r="C179" t="s">
        <v>14</v>
      </c>
      <c r="D179" t="s">
        <v>16</v>
      </c>
      <c r="E179" t="s">
        <v>13</v>
      </c>
      <c r="F179">
        <v>193</v>
      </c>
      <c r="G179">
        <v>5.7</v>
      </c>
      <c r="H179">
        <v>1471</v>
      </c>
      <c r="I179">
        <v>51</v>
      </c>
      <c r="J179">
        <v>972</v>
      </c>
      <c r="K179">
        <v>3</v>
      </c>
      <c r="L179" t="s">
        <v>40</v>
      </c>
      <c r="M179" s="2">
        <f t="shared" si="2"/>
        <v>258.07017543859649</v>
      </c>
      <c r="N1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79" s="1">
        <f>F:F/I:I</f>
        <v>3.784313725490196</v>
      </c>
    </row>
    <row r="180" spans="1:15" x14ac:dyDescent="0.3">
      <c r="A180">
        <v>179</v>
      </c>
      <c r="B180">
        <v>38</v>
      </c>
      <c r="C180" t="s">
        <v>11</v>
      </c>
      <c r="D180" t="s">
        <v>12</v>
      </c>
      <c r="E180" t="s">
        <v>13</v>
      </c>
      <c r="F180">
        <v>207</v>
      </c>
      <c r="G180">
        <v>5.7</v>
      </c>
      <c r="H180">
        <v>1582</v>
      </c>
      <c r="I180">
        <v>52</v>
      </c>
      <c r="J180">
        <v>692</v>
      </c>
      <c r="K180">
        <v>3</v>
      </c>
      <c r="L180" t="s">
        <v>35</v>
      </c>
      <c r="M180" s="2">
        <f t="shared" si="2"/>
        <v>277.54385964912279</v>
      </c>
      <c r="N1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80" s="1">
        <f>F:F/I:I</f>
        <v>3.9807692307692308</v>
      </c>
    </row>
    <row r="181" spans="1:15" x14ac:dyDescent="0.3">
      <c r="A181">
        <v>180</v>
      </c>
      <c r="B181">
        <v>55</v>
      </c>
      <c r="C181" t="s">
        <v>11</v>
      </c>
      <c r="D181" t="s">
        <v>18</v>
      </c>
      <c r="E181" t="s">
        <v>19</v>
      </c>
      <c r="F181">
        <v>539</v>
      </c>
      <c r="G181">
        <v>11.9</v>
      </c>
      <c r="H181">
        <v>2853</v>
      </c>
      <c r="I181">
        <v>83</v>
      </c>
      <c r="J181">
        <v>2007</v>
      </c>
      <c r="K181">
        <v>5</v>
      </c>
      <c r="L181" t="s">
        <v>37</v>
      </c>
      <c r="M181" s="2">
        <f t="shared" si="2"/>
        <v>239.74789915966386</v>
      </c>
      <c r="N1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81" s="1">
        <f>F:F/I:I</f>
        <v>6.4939759036144578</v>
      </c>
    </row>
    <row r="182" spans="1:15" x14ac:dyDescent="0.3">
      <c r="A182">
        <v>181</v>
      </c>
      <c r="B182">
        <v>33</v>
      </c>
      <c r="C182" t="s">
        <v>11</v>
      </c>
      <c r="D182" t="s">
        <v>17</v>
      </c>
      <c r="E182" t="s">
        <v>13</v>
      </c>
      <c r="F182">
        <v>151</v>
      </c>
      <c r="G182">
        <v>2.4</v>
      </c>
      <c r="H182">
        <v>1124</v>
      </c>
      <c r="I182">
        <v>38</v>
      </c>
      <c r="J182">
        <v>571</v>
      </c>
      <c r="K182">
        <v>2</v>
      </c>
      <c r="L182" t="s">
        <v>40</v>
      </c>
      <c r="M182" s="2">
        <f t="shared" si="2"/>
        <v>468.33333333333337</v>
      </c>
      <c r="N1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82" s="1">
        <f>F:F/I:I</f>
        <v>3.9736842105263159</v>
      </c>
    </row>
    <row r="183" spans="1:15" x14ac:dyDescent="0.3">
      <c r="A183">
        <v>182</v>
      </c>
      <c r="B183">
        <v>24</v>
      </c>
      <c r="C183" t="s">
        <v>11</v>
      </c>
      <c r="D183" t="s">
        <v>15</v>
      </c>
      <c r="E183" t="s">
        <v>13</v>
      </c>
      <c r="F183">
        <v>474</v>
      </c>
      <c r="G183">
        <v>6.4</v>
      </c>
      <c r="H183">
        <v>2109</v>
      </c>
      <c r="I183">
        <v>68</v>
      </c>
      <c r="J183">
        <v>1079</v>
      </c>
      <c r="K183">
        <v>4</v>
      </c>
      <c r="L183" t="s">
        <v>39</v>
      </c>
      <c r="M183" s="2">
        <f t="shared" si="2"/>
        <v>329.53125</v>
      </c>
      <c r="N1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83" s="1">
        <f>F:F/I:I</f>
        <v>6.9705882352941178</v>
      </c>
    </row>
    <row r="184" spans="1:15" x14ac:dyDescent="0.3">
      <c r="A184">
        <v>183</v>
      </c>
      <c r="B184">
        <v>47</v>
      </c>
      <c r="C184" t="s">
        <v>14</v>
      </c>
      <c r="D184" t="s">
        <v>18</v>
      </c>
      <c r="E184" t="s">
        <v>19</v>
      </c>
      <c r="F184">
        <v>544</v>
      </c>
      <c r="G184">
        <v>9.1999999999999993</v>
      </c>
      <c r="H184">
        <v>2936</v>
      </c>
      <c r="I184">
        <v>83</v>
      </c>
      <c r="J184">
        <v>2416</v>
      </c>
      <c r="K184">
        <v>5</v>
      </c>
      <c r="L184" t="s">
        <v>41</v>
      </c>
      <c r="M184" s="2">
        <f t="shared" si="2"/>
        <v>319.13043478260875</v>
      </c>
      <c r="N1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84" s="1">
        <f>F:F/I:I</f>
        <v>6.5542168674698793</v>
      </c>
    </row>
    <row r="185" spans="1:15" x14ac:dyDescent="0.3">
      <c r="A185">
        <v>184</v>
      </c>
      <c r="B185">
        <v>39</v>
      </c>
      <c r="C185" t="s">
        <v>14</v>
      </c>
      <c r="D185" t="s">
        <v>18</v>
      </c>
      <c r="E185" t="s">
        <v>19</v>
      </c>
      <c r="F185">
        <v>73</v>
      </c>
      <c r="G185">
        <v>1.2</v>
      </c>
      <c r="H185">
        <v>308</v>
      </c>
      <c r="I185">
        <v>15</v>
      </c>
      <c r="J185">
        <v>275</v>
      </c>
      <c r="K185">
        <v>1</v>
      </c>
      <c r="L185" t="s">
        <v>35</v>
      </c>
      <c r="M185" s="2">
        <f t="shared" si="2"/>
        <v>256.66666666666669</v>
      </c>
      <c r="N1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85" s="1">
        <f>F:F/I:I</f>
        <v>4.8666666666666663</v>
      </c>
    </row>
    <row r="186" spans="1:15" x14ac:dyDescent="0.3">
      <c r="A186">
        <v>185</v>
      </c>
      <c r="B186">
        <v>34</v>
      </c>
      <c r="C186" t="s">
        <v>14</v>
      </c>
      <c r="D186" t="s">
        <v>12</v>
      </c>
      <c r="E186" t="s">
        <v>13</v>
      </c>
      <c r="F186">
        <v>597</v>
      </c>
      <c r="G186">
        <v>10.4</v>
      </c>
      <c r="H186">
        <v>2984</v>
      </c>
      <c r="I186">
        <v>91</v>
      </c>
      <c r="J186">
        <v>1564</v>
      </c>
      <c r="K186">
        <v>5</v>
      </c>
      <c r="L186" t="s">
        <v>40</v>
      </c>
      <c r="M186" s="2">
        <f t="shared" si="2"/>
        <v>286.92307692307691</v>
      </c>
      <c r="N1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86" s="1">
        <f>F:F/I:I</f>
        <v>6.5604395604395602</v>
      </c>
    </row>
    <row r="187" spans="1:15" x14ac:dyDescent="0.3">
      <c r="A187">
        <v>186</v>
      </c>
      <c r="B187">
        <v>42</v>
      </c>
      <c r="C187" t="s">
        <v>11</v>
      </c>
      <c r="D187" t="s">
        <v>15</v>
      </c>
      <c r="E187" t="s">
        <v>13</v>
      </c>
      <c r="F187">
        <v>498</v>
      </c>
      <c r="G187">
        <v>10.7</v>
      </c>
      <c r="H187">
        <v>2738</v>
      </c>
      <c r="I187">
        <v>94</v>
      </c>
      <c r="J187">
        <v>1995</v>
      </c>
      <c r="K187">
        <v>5</v>
      </c>
      <c r="L187" t="s">
        <v>34</v>
      </c>
      <c r="M187" s="2">
        <f t="shared" si="2"/>
        <v>255.88785046728972</v>
      </c>
      <c r="N1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87" s="1">
        <f>F:F/I:I</f>
        <v>5.2978723404255321</v>
      </c>
    </row>
    <row r="188" spans="1:15" x14ac:dyDescent="0.3">
      <c r="A188">
        <v>187</v>
      </c>
      <c r="B188">
        <v>34</v>
      </c>
      <c r="C188" t="s">
        <v>14</v>
      </c>
      <c r="D188" t="s">
        <v>18</v>
      </c>
      <c r="E188" t="s">
        <v>19</v>
      </c>
      <c r="F188">
        <v>402</v>
      </c>
      <c r="G188">
        <v>7.8</v>
      </c>
      <c r="H188">
        <v>2014</v>
      </c>
      <c r="I188">
        <v>79</v>
      </c>
      <c r="J188">
        <v>1088</v>
      </c>
      <c r="K188">
        <v>4</v>
      </c>
      <c r="L188" t="s">
        <v>40</v>
      </c>
      <c r="M188" s="2">
        <f t="shared" si="2"/>
        <v>258.20512820512823</v>
      </c>
      <c r="N1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88" s="1">
        <f>F:F/I:I</f>
        <v>5.0886075949367084</v>
      </c>
    </row>
    <row r="189" spans="1:15" x14ac:dyDescent="0.3">
      <c r="A189">
        <v>188</v>
      </c>
      <c r="B189">
        <v>37</v>
      </c>
      <c r="C189" t="s">
        <v>11</v>
      </c>
      <c r="D189" t="s">
        <v>17</v>
      </c>
      <c r="E189" t="s">
        <v>13</v>
      </c>
      <c r="F189">
        <v>75</v>
      </c>
      <c r="G189">
        <v>1.1000000000000001</v>
      </c>
      <c r="H189">
        <v>379</v>
      </c>
      <c r="I189">
        <v>15</v>
      </c>
      <c r="J189">
        <v>185</v>
      </c>
      <c r="K189">
        <v>1</v>
      </c>
      <c r="L189" t="s">
        <v>35</v>
      </c>
      <c r="M189" s="2">
        <f t="shared" si="2"/>
        <v>344.5454545454545</v>
      </c>
      <c r="N1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89" s="1">
        <f>F:F/I:I</f>
        <v>5</v>
      </c>
    </row>
    <row r="190" spans="1:15" x14ac:dyDescent="0.3">
      <c r="A190">
        <v>189</v>
      </c>
      <c r="B190">
        <v>30</v>
      </c>
      <c r="C190" t="s">
        <v>14</v>
      </c>
      <c r="D190" t="s">
        <v>18</v>
      </c>
      <c r="E190" t="s">
        <v>19</v>
      </c>
      <c r="F190">
        <v>130</v>
      </c>
      <c r="G190">
        <v>2</v>
      </c>
      <c r="H190">
        <v>602</v>
      </c>
      <c r="I190">
        <v>21</v>
      </c>
      <c r="J190">
        <v>589</v>
      </c>
      <c r="K190">
        <v>2</v>
      </c>
      <c r="L190" t="s">
        <v>40</v>
      </c>
      <c r="M190" s="2">
        <f t="shared" si="2"/>
        <v>301</v>
      </c>
      <c r="N1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90" s="1">
        <f>F:F/I:I</f>
        <v>6.1904761904761907</v>
      </c>
    </row>
    <row r="191" spans="1:15" x14ac:dyDescent="0.3">
      <c r="A191">
        <v>190</v>
      </c>
      <c r="B191">
        <v>32</v>
      </c>
      <c r="C191" t="s">
        <v>14</v>
      </c>
      <c r="D191" t="s">
        <v>16</v>
      </c>
      <c r="E191" t="s">
        <v>13</v>
      </c>
      <c r="F191">
        <v>42</v>
      </c>
      <c r="G191">
        <v>1.1000000000000001</v>
      </c>
      <c r="H191">
        <v>402</v>
      </c>
      <c r="I191">
        <v>11</v>
      </c>
      <c r="J191">
        <v>265</v>
      </c>
      <c r="K191">
        <v>1</v>
      </c>
      <c r="L191" t="s">
        <v>40</v>
      </c>
      <c r="M191" s="2">
        <f t="shared" si="2"/>
        <v>365.45454545454544</v>
      </c>
      <c r="N1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191" s="1">
        <f>F:F/I:I</f>
        <v>3.8181818181818183</v>
      </c>
    </row>
    <row r="192" spans="1:15" x14ac:dyDescent="0.3">
      <c r="A192">
        <v>191</v>
      </c>
      <c r="B192">
        <v>23</v>
      </c>
      <c r="C192" t="s">
        <v>11</v>
      </c>
      <c r="D192" t="s">
        <v>18</v>
      </c>
      <c r="E192" t="s">
        <v>19</v>
      </c>
      <c r="F192">
        <v>134</v>
      </c>
      <c r="G192">
        <v>2.2000000000000002</v>
      </c>
      <c r="H192">
        <v>917</v>
      </c>
      <c r="I192">
        <v>23</v>
      </c>
      <c r="J192">
        <v>423</v>
      </c>
      <c r="K192">
        <v>2</v>
      </c>
      <c r="L192" t="s">
        <v>39</v>
      </c>
      <c r="M192" s="2">
        <f t="shared" si="2"/>
        <v>416.81818181818176</v>
      </c>
      <c r="N1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92" s="1">
        <f>F:F/I:I</f>
        <v>5.8260869565217392</v>
      </c>
    </row>
    <row r="193" spans="1:15" x14ac:dyDescent="0.3">
      <c r="A193">
        <v>192</v>
      </c>
      <c r="B193">
        <v>24</v>
      </c>
      <c r="C193" t="s">
        <v>11</v>
      </c>
      <c r="D193" t="s">
        <v>15</v>
      </c>
      <c r="E193" t="s">
        <v>13</v>
      </c>
      <c r="F193">
        <v>79</v>
      </c>
      <c r="G193">
        <v>1.9</v>
      </c>
      <c r="H193">
        <v>477</v>
      </c>
      <c r="I193">
        <v>13</v>
      </c>
      <c r="J193">
        <v>161</v>
      </c>
      <c r="K193">
        <v>1</v>
      </c>
      <c r="L193" t="s">
        <v>39</v>
      </c>
      <c r="M193" s="2">
        <f t="shared" si="2"/>
        <v>251.05263157894737</v>
      </c>
      <c r="N1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93" s="1">
        <f>F:F/I:I</f>
        <v>6.0769230769230766</v>
      </c>
    </row>
    <row r="194" spans="1:15" x14ac:dyDescent="0.3">
      <c r="A194">
        <v>193</v>
      </c>
      <c r="B194">
        <v>59</v>
      </c>
      <c r="C194" t="s">
        <v>14</v>
      </c>
      <c r="D194" t="s">
        <v>18</v>
      </c>
      <c r="E194" t="s">
        <v>19</v>
      </c>
      <c r="F194">
        <v>432</v>
      </c>
      <c r="G194">
        <v>7.2</v>
      </c>
      <c r="H194">
        <v>1822</v>
      </c>
      <c r="I194">
        <v>63</v>
      </c>
      <c r="J194">
        <v>1127</v>
      </c>
      <c r="K194">
        <v>4</v>
      </c>
      <c r="L194" t="s">
        <v>37</v>
      </c>
      <c r="M194" s="2">
        <f t="shared" ref="M194:M257" si="3">H:H/G:G</f>
        <v>253.05555555555554</v>
      </c>
      <c r="N1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194" s="1">
        <f>F:F/I:I</f>
        <v>6.8571428571428568</v>
      </c>
    </row>
    <row r="195" spans="1:15" x14ac:dyDescent="0.3">
      <c r="A195">
        <v>194</v>
      </c>
      <c r="B195">
        <v>36</v>
      </c>
      <c r="C195" t="s">
        <v>11</v>
      </c>
      <c r="D195" t="s">
        <v>18</v>
      </c>
      <c r="E195" t="s">
        <v>19</v>
      </c>
      <c r="F195">
        <v>262</v>
      </c>
      <c r="G195">
        <v>4.0999999999999996</v>
      </c>
      <c r="H195">
        <v>1287</v>
      </c>
      <c r="I195">
        <v>52</v>
      </c>
      <c r="J195">
        <v>997</v>
      </c>
      <c r="K195">
        <v>3</v>
      </c>
      <c r="L195" t="s">
        <v>35</v>
      </c>
      <c r="M195" s="2">
        <f t="shared" si="3"/>
        <v>313.90243902439028</v>
      </c>
      <c r="N1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195" s="1">
        <f>F:F/I:I</f>
        <v>5.0384615384615383</v>
      </c>
    </row>
    <row r="196" spans="1:15" x14ac:dyDescent="0.3">
      <c r="A196">
        <v>195</v>
      </c>
      <c r="B196">
        <v>23</v>
      </c>
      <c r="C196" t="s">
        <v>14</v>
      </c>
      <c r="D196" t="s">
        <v>16</v>
      </c>
      <c r="E196" t="s">
        <v>13</v>
      </c>
      <c r="F196">
        <v>473</v>
      </c>
      <c r="G196">
        <v>6.4</v>
      </c>
      <c r="H196">
        <v>2109</v>
      </c>
      <c r="I196">
        <v>79</v>
      </c>
      <c r="J196">
        <v>1300</v>
      </c>
      <c r="K196">
        <v>4</v>
      </c>
      <c r="L196" t="s">
        <v>39</v>
      </c>
      <c r="M196" s="2">
        <f t="shared" si="3"/>
        <v>329.53125</v>
      </c>
      <c r="N1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196" s="1">
        <f>F:F/I:I</f>
        <v>5.9873417721518987</v>
      </c>
    </row>
    <row r="197" spans="1:15" x14ac:dyDescent="0.3">
      <c r="A197">
        <v>196</v>
      </c>
      <c r="B197">
        <v>45</v>
      </c>
      <c r="C197" t="s">
        <v>14</v>
      </c>
      <c r="D197" t="s">
        <v>15</v>
      </c>
      <c r="E197" t="s">
        <v>13</v>
      </c>
      <c r="F197">
        <v>202</v>
      </c>
      <c r="G197">
        <v>4.7</v>
      </c>
      <c r="H197">
        <v>1512</v>
      </c>
      <c r="I197">
        <v>49</v>
      </c>
      <c r="J197">
        <v>659</v>
      </c>
      <c r="K197">
        <v>3</v>
      </c>
      <c r="L197" t="s">
        <v>41</v>
      </c>
      <c r="M197" s="2">
        <f t="shared" si="3"/>
        <v>321.70212765957444</v>
      </c>
      <c r="N1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97" s="1">
        <f>F:F/I:I</f>
        <v>4.1224489795918364</v>
      </c>
    </row>
    <row r="198" spans="1:15" x14ac:dyDescent="0.3">
      <c r="A198">
        <v>197</v>
      </c>
      <c r="B198">
        <v>47</v>
      </c>
      <c r="C198" t="s">
        <v>11</v>
      </c>
      <c r="D198" t="s">
        <v>17</v>
      </c>
      <c r="E198" t="s">
        <v>13</v>
      </c>
      <c r="F198">
        <v>215</v>
      </c>
      <c r="G198">
        <v>4.4000000000000004</v>
      </c>
      <c r="H198">
        <v>1407</v>
      </c>
      <c r="I198">
        <v>41</v>
      </c>
      <c r="J198">
        <v>991</v>
      </c>
      <c r="K198">
        <v>3</v>
      </c>
      <c r="L198" t="s">
        <v>41</v>
      </c>
      <c r="M198" s="2">
        <f t="shared" si="3"/>
        <v>319.77272727272725</v>
      </c>
      <c r="N1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198" s="1">
        <f>F:F/I:I</f>
        <v>5.2439024390243905</v>
      </c>
    </row>
    <row r="199" spans="1:15" x14ac:dyDescent="0.3">
      <c r="A199">
        <v>198</v>
      </c>
      <c r="B199">
        <v>41</v>
      </c>
      <c r="C199" t="s">
        <v>14</v>
      </c>
      <c r="D199" t="s">
        <v>17</v>
      </c>
      <c r="E199" t="s">
        <v>13</v>
      </c>
      <c r="F199">
        <v>151</v>
      </c>
      <c r="G199">
        <v>3.7</v>
      </c>
      <c r="H199">
        <v>1116</v>
      </c>
      <c r="I199">
        <v>32</v>
      </c>
      <c r="J199">
        <v>320</v>
      </c>
      <c r="K199">
        <v>2</v>
      </c>
      <c r="L199" t="s">
        <v>34</v>
      </c>
      <c r="M199" s="2">
        <f t="shared" si="3"/>
        <v>301.62162162162161</v>
      </c>
      <c r="N1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199" s="1">
        <f>F:F/I:I</f>
        <v>4.71875</v>
      </c>
    </row>
    <row r="200" spans="1:15" x14ac:dyDescent="0.3">
      <c r="A200">
        <v>199</v>
      </c>
      <c r="B200">
        <v>19</v>
      </c>
      <c r="C200" t="s">
        <v>11</v>
      </c>
      <c r="D200" t="s">
        <v>17</v>
      </c>
      <c r="E200" t="s">
        <v>13</v>
      </c>
      <c r="F200">
        <v>80</v>
      </c>
      <c r="G200">
        <v>1.6</v>
      </c>
      <c r="H200">
        <v>549</v>
      </c>
      <c r="I200">
        <v>14</v>
      </c>
      <c r="J200">
        <v>197</v>
      </c>
      <c r="K200">
        <v>1</v>
      </c>
      <c r="L200" t="s">
        <v>42</v>
      </c>
      <c r="M200" s="2">
        <f t="shared" si="3"/>
        <v>343.125</v>
      </c>
      <c r="N2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00" s="1">
        <f>F:F/I:I</f>
        <v>5.7142857142857144</v>
      </c>
    </row>
    <row r="201" spans="1:15" x14ac:dyDescent="0.3">
      <c r="A201">
        <v>200</v>
      </c>
      <c r="B201">
        <v>35</v>
      </c>
      <c r="C201" t="s">
        <v>14</v>
      </c>
      <c r="D201" t="s">
        <v>12</v>
      </c>
      <c r="E201" t="s">
        <v>13</v>
      </c>
      <c r="F201">
        <v>126</v>
      </c>
      <c r="G201">
        <v>2.8</v>
      </c>
      <c r="H201">
        <v>971</v>
      </c>
      <c r="I201">
        <v>32</v>
      </c>
      <c r="J201">
        <v>431</v>
      </c>
      <c r="K201">
        <v>2</v>
      </c>
      <c r="L201" t="s">
        <v>35</v>
      </c>
      <c r="M201" s="2">
        <f t="shared" si="3"/>
        <v>346.78571428571433</v>
      </c>
      <c r="N2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01" s="1">
        <f>F:F/I:I</f>
        <v>3.9375</v>
      </c>
    </row>
    <row r="202" spans="1:15" x14ac:dyDescent="0.3">
      <c r="A202">
        <v>201</v>
      </c>
      <c r="B202">
        <v>31</v>
      </c>
      <c r="C202" t="s">
        <v>14</v>
      </c>
      <c r="D202" t="s">
        <v>16</v>
      </c>
      <c r="E202" t="s">
        <v>13</v>
      </c>
      <c r="F202">
        <v>495</v>
      </c>
      <c r="G202">
        <v>8.9</v>
      </c>
      <c r="H202">
        <v>2920</v>
      </c>
      <c r="I202">
        <v>84</v>
      </c>
      <c r="J202">
        <v>2252</v>
      </c>
      <c r="K202">
        <v>5</v>
      </c>
      <c r="L202" t="s">
        <v>40</v>
      </c>
      <c r="M202" s="2">
        <f t="shared" si="3"/>
        <v>328.08988764044943</v>
      </c>
      <c r="N2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02" s="1">
        <f>F:F/I:I</f>
        <v>5.8928571428571432</v>
      </c>
    </row>
    <row r="203" spans="1:15" x14ac:dyDescent="0.3">
      <c r="A203">
        <v>202</v>
      </c>
      <c r="B203">
        <v>37</v>
      </c>
      <c r="C203" t="s">
        <v>14</v>
      </c>
      <c r="D203" t="s">
        <v>18</v>
      </c>
      <c r="E203" t="s">
        <v>19</v>
      </c>
      <c r="F203">
        <v>127</v>
      </c>
      <c r="G203">
        <v>3.7</v>
      </c>
      <c r="H203">
        <v>1153</v>
      </c>
      <c r="I203">
        <v>35</v>
      </c>
      <c r="J203">
        <v>314</v>
      </c>
      <c r="K203">
        <v>2</v>
      </c>
      <c r="L203" t="s">
        <v>35</v>
      </c>
      <c r="M203" s="2">
        <f t="shared" si="3"/>
        <v>311.62162162162161</v>
      </c>
      <c r="N2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03" s="1">
        <f>F:F/I:I</f>
        <v>3.6285714285714286</v>
      </c>
    </row>
    <row r="204" spans="1:15" x14ac:dyDescent="0.3">
      <c r="A204">
        <v>203</v>
      </c>
      <c r="B204">
        <v>22</v>
      </c>
      <c r="C204" t="s">
        <v>11</v>
      </c>
      <c r="D204" t="s">
        <v>12</v>
      </c>
      <c r="E204" t="s">
        <v>13</v>
      </c>
      <c r="F204">
        <v>88</v>
      </c>
      <c r="G204">
        <v>1.3</v>
      </c>
      <c r="H204">
        <v>327</v>
      </c>
      <c r="I204">
        <v>11</v>
      </c>
      <c r="J204">
        <v>262</v>
      </c>
      <c r="K204">
        <v>1</v>
      </c>
      <c r="L204" t="s">
        <v>39</v>
      </c>
      <c r="M204" s="2">
        <f t="shared" si="3"/>
        <v>251.53846153846152</v>
      </c>
      <c r="N2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04" s="1">
        <f>F:F/I:I</f>
        <v>8</v>
      </c>
    </row>
    <row r="205" spans="1:15" x14ac:dyDescent="0.3">
      <c r="A205">
        <v>204</v>
      </c>
      <c r="B205">
        <v>27</v>
      </c>
      <c r="C205" t="s">
        <v>11</v>
      </c>
      <c r="D205" t="s">
        <v>15</v>
      </c>
      <c r="E205" t="s">
        <v>13</v>
      </c>
      <c r="F205">
        <v>69</v>
      </c>
      <c r="G205">
        <v>1.6</v>
      </c>
      <c r="H205">
        <v>463</v>
      </c>
      <c r="I205">
        <v>16</v>
      </c>
      <c r="J205">
        <v>146</v>
      </c>
      <c r="K205">
        <v>1</v>
      </c>
      <c r="L205" t="s">
        <v>36</v>
      </c>
      <c r="M205" s="2">
        <f t="shared" si="3"/>
        <v>289.375</v>
      </c>
      <c r="N2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05" s="1">
        <f>F:F/I:I</f>
        <v>4.3125</v>
      </c>
    </row>
    <row r="206" spans="1:15" x14ac:dyDescent="0.3">
      <c r="A206">
        <v>205</v>
      </c>
      <c r="B206">
        <v>25</v>
      </c>
      <c r="C206" t="s">
        <v>11</v>
      </c>
      <c r="D206" t="s">
        <v>17</v>
      </c>
      <c r="E206" t="s">
        <v>13</v>
      </c>
      <c r="F206">
        <v>100</v>
      </c>
      <c r="G206">
        <v>3.3</v>
      </c>
      <c r="H206">
        <v>961</v>
      </c>
      <c r="I206">
        <v>21</v>
      </c>
      <c r="J206">
        <v>433</v>
      </c>
      <c r="K206">
        <v>2</v>
      </c>
      <c r="L206" t="s">
        <v>36</v>
      </c>
      <c r="M206" s="2">
        <f t="shared" si="3"/>
        <v>291.21212121212125</v>
      </c>
      <c r="N2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06" s="1">
        <f>F:F/I:I</f>
        <v>4.7619047619047619</v>
      </c>
    </row>
    <row r="207" spans="1:15" x14ac:dyDescent="0.3">
      <c r="A207">
        <v>206</v>
      </c>
      <c r="B207">
        <v>29</v>
      </c>
      <c r="C207" t="s">
        <v>11</v>
      </c>
      <c r="D207" t="s">
        <v>12</v>
      </c>
      <c r="E207" t="s">
        <v>13</v>
      </c>
      <c r="F207">
        <v>301</v>
      </c>
      <c r="G207">
        <v>6.5</v>
      </c>
      <c r="H207">
        <v>2084</v>
      </c>
      <c r="I207">
        <v>71</v>
      </c>
      <c r="J207">
        <v>1421</v>
      </c>
      <c r="K207">
        <v>4</v>
      </c>
      <c r="L207" t="s">
        <v>36</v>
      </c>
      <c r="M207" s="2">
        <f t="shared" si="3"/>
        <v>320.61538461538464</v>
      </c>
      <c r="N2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07" s="1">
        <f>F:F/I:I</f>
        <v>4.23943661971831</v>
      </c>
    </row>
    <row r="208" spans="1:15" x14ac:dyDescent="0.3">
      <c r="A208">
        <v>207</v>
      </c>
      <c r="B208">
        <v>37</v>
      </c>
      <c r="C208" t="s">
        <v>14</v>
      </c>
      <c r="D208" t="s">
        <v>15</v>
      </c>
      <c r="E208" t="s">
        <v>13</v>
      </c>
      <c r="F208">
        <v>78</v>
      </c>
      <c r="G208">
        <v>1.7</v>
      </c>
      <c r="H208">
        <v>455</v>
      </c>
      <c r="I208">
        <v>15</v>
      </c>
      <c r="J208">
        <v>207</v>
      </c>
      <c r="K208">
        <v>1</v>
      </c>
      <c r="L208" t="s">
        <v>35</v>
      </c>
      <c r="M208" s="2">
        <f t="shared" si="3"/>
        <v>267.64705882352939</v>
      </c>
      <c r="N2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08" s="1">
        <f>F:F/I:I</f>
        <v>5.2</v>
      </c>
    </row>
    <row r="209" spans="1:15" x14ac:dyDescent="0.3">
      <c r="A209">
        <v>208</v>
      </c>
      <c r="B209">
        <v>23</v>
      </c>
      <c r="C209" t="s">
        <v>11</v>
      </c>
      <c r="D209" t="s">
        <v>15</v>
      </c>
      <c r="E209" t="s">
        <v>13</v>
      </c>
      <c r="F209">
        <v>163</v>
      </c>
      <c r="G209">
        <v>3.1</v>
      </c>
      <c r="H209">
        <v>620</v>
      </c>
      <c r="I209">
        <v>21</v>
      </c>
      <c r="J209">
        <v>419</v>
      </c>
      <c r="K209">
        <v>2</v>
      </c>
      <c r="L209" t="s">
        <v>39</v>
      </c>
      <c r="M209" s="2">
        <f t="shared" si="3"/>
        <v>200</v>
      </c>
      <c r="N2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09" s="1">
        <f>F:F/I:I</f>
        <v>7.7619047619047619</v>
      </c>
    </row>
    <row r="210" spans="1:15" x14ac:dyDescent="0.3">
      <c r="A210">
        <v>209</v>
      </c>
      <c r="B210">
        <v>41</v>
      </c>
      <c r="C210" t="s">
        <v>11</v>
      </c>
      <c r="D210" t="s">
        <v>17</v>
      </c>
      <c r="E210" t="s">
        <v>13</v>
      </c>
      <c r="F210">
        <v>539</v>
      </c>
      <c r="G210">
        <v>9.3000000000000007</v>
      </c>
      <c r="H210">
        <v>2606</v>
      </c>
      <c r="I210">
        <v>92</v>
      </c>
      <c r="J210">
        <v>1990</v>
      </c>
      <c r="K210">
        <v>5</v>
      </c>
      <c r="L210" t="s">
        <v>34</v>
      </c>
      <c r="M210" s="2">
        <f t="shared" si="3"/>
        <v>280.21505376344084</v>
      </c>
      <c r="N2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10" s="1">
        <f>F:F/I:I</f>
        <v>5.8586956521739131</v>
      </c>
    </row>
    <row r="211" spans="1:15" x14ac:dyDescent="0.3">
      <c r="A211">
        <v>210</v>
      </c>
      <c r="B211">
        <v>40</v>
      </c>
      <c r="C211" t="s">
        <v>14</v>
      </c>
      <c r="D211" t="s">
        <v>15</v>
      </c>
      <c r="E211" t="s">
        <v>13</v>
      </c>
      <c r="F211">
        <v>278</v>
      </c>
      <c r="G211">
        <v>4.5999999999999996</v>
      </c>
      <c r="H211">
        <v>1385</v>
      </c>
      <c r="I211">
        <v>47</v>
      </c>
      <c r="J211">
        <v>823</v>
      </c>
      <c r="K211">
        <v>3</v>
      </c>
      <c r="L211" t="s">
        <v>34</v>
      </c>
      <c r="M211" s="2">
        <f t="shared" si="3"/>
        <v>301.08695652173913</v>
      </c>
      <c r="N2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11" s="1">
        <f>F:F/I:I</f>
        <v>5.9148936170212769</v>
      </c>
    </row>
    <row r="212" spans="1:15" x14ac:dyDescent="0.3">
      <c r="A212">
        <v>211</v>
      </c>
      <c r="B212">
        <v>25</v>
      </c>
      <c r="C212" t="s">
        <v>14</v>
      </c>
      <c r="D212" t="s">
        <v>16</v>
      </c>
      <c r="E212" t="s">
        <v>13</v>
      </c>
      <c r="F212">
        <v>451</v>
      </c>
      <c r="G212">
        <v>6.1</v>
      </c>
      <c r="H212">
        <v>2108</v>
      </c>
      <c r="I212">
        <v>76</v>
      </c>
      <c r="J212">
        <v>1434</v>
      </c>
      <c r="K212">
        <v>4</v>
      </c>
      <c r="L212" t="s">
        <v>36</v>
      </c>
      <c r="M212" s="2">
        <f t="shared" si="3"/>
        <v>345.57377049180332</v>
      </c>
      <c r="N2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12" s="1">
        <f>F:F/I:I</f>
        <v>5.9342105263157894</v>
      </c>
    </row>
    <row r="213" spans="1:15" x14ac:dyDescent="0.3">
      <c r="A213">
        <v>212</v>
      </c>
      <c r="B213">
        <v>18</v>
      </c>
      <c r="C213" t="s">
        <v>11</v>
      </c>
      <c r="D213" t="s">
        <v>16</v>
      </c>
      <c r="E213" t="s">
        <v>13</v>
      </c>
      <c r="F213">
        <v>481</v>
      </c>
      <c r="G213">
        <v>10.9</v>
      </c>
      <c r="H213">
        <v>2752</v>
      </c>
      <c r="I213">
        <v>86</v>
      </c>
      <c r="J213">
        <v>2017</v>
      </c>
      <c r="K213">
        <v>5</v>
      </c>
      <c r="L213" t="s">
        <v>42</v>
      </c>
      <c r="M213" s="2">
        <f t="shared" si="3"/>
        <v>252.47706422018348</v>
      </c>
      <c r="N2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13" s="1">
        <f>F:F/I:I</f>
        <v>5.5930232558139537</v>
      </c>
    </row>
    <row r="214" spans="1:15" x14ac:dyDescent="0.3">
      <c r="A214">
        <v>213</v>
      </c>
      <c r="B214">
        <v>25</v>
      </c>
      <c r="C214" t="s">
        <v>11</v>
      </c>
      <c r="D214" t="s">
        <v>16</v>
      </c>
      <c r="E214" t="s">
        <v>13</v>
      </c>
      <c r="F214">
        <v>133</v>
      </c>
      <c r="G214">
        <v>3.4</v>
      </c>
      <c r="H214">
        <v>714</v>
      </c>
      <c r="I214">
        <v>38</v>
      </c>
      <c r="J214">
        <v>445</v>
      </c>
      <c r="K214">
        <v>2</v>
      </c>
      <c r="L214" t="s">
        <v>36</v>
      </c>
      <c r="M214" s="2">
        <f t="shared" si="3"/>
        <v>210</v>
      </c>
      <c r="N2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14" s="1">
        <f>F:F/I:I</f>
        <v>3.5</v>
      </c>
    </row>
    <row r="215" spans="1:15" x14ac:dyDescent="0.3">
      <c r="A215">
        <v>214</v>
      </c>
      <c r="B215">
        <v>22</v>
      </c>
      <c r="C215" t="s">
        <v>11</v>
      </c>
      <c r="D215" t="s">
        <v>12</v>
      </c>
      <c r="E215" t="s">
        <v>13</v>
      </c>
      <c r="F215">
        <v>41</v>
      </c>
      <c r="G215">
        <v>1.1000000000000001</v>
      </c>
      <c r="H215">
        <v>588</v>
      </c>
      <c r="I215">
        <v>10</v>
      </c>
      <c r="J215">
        <v>246</v>
      </c>
      <c r="K215">
        <v>1</v>
      </c>
      <c r="L215" t="s">
        <v>39</v>
      </c>
      <c r="M215" s="2">
        <f t="shared" si="3"/>
        <v>534.5454545454545</v>
      </c>
      <c r="N2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15" s="1">
        <f>F:F/I:I</f>
        <v>4.0999999999999996</v>
      </c>
    </row>
    <row r="216" spans="1:15" x14ac:dyDescent="0.3">
      <c r="A216">
        <v>215</v>
      </c>
      <c r="B216">
        <v>42</v>
      </c>
      <c r="C216" t="s">
        <v>14</v>
      </c>
      <c r="D216" t="s">
        <v>18</v>
      </c>
      <c r="E216" t="s">
        <v>19</v>
      </c>
      <c r="F216">
        <v>152</v>
      </c>
      <c r="G216">
        <v>3.3</v>
      </c>
      <c r="H216">
        <v>1175</v>
      </c>
      <c r="I216">
        <v>29</v>
      </c>
      <c r="J216">
        <v>461</v>
      </c>
      <c r="K216">
        <v>2</v>
      </c>
      <c r="L216" t="s">
        <v>34</v>
      </c>
      <c r="M216" s="2">
        <f t="shared" si="3"/>
        <v>356.06060606060606</v>
      </c>
      <c r="N2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16" s="1">
        <f>F:F/I:I</f>
        <v>5.2413793103448274</v>
      </c>
    </row>
    <row r="217" spans="1:15" x14ac:dyDescent="0.3">
      <c r="A217">
        <v>216</v>
      </c>
      <c r="B217">
        <v>51</v>
      </c>
      <c r="C217" t="s">
        <v>11</v>
      </c>
      <c r="D217" t="s">
        <v>17</v>
      </c>
      <c r="E217" t="s">
        <v>13</v>
      </c>
      <c r="F217">
        <v>553</v>
      </c>
      <c r="G217">
        <v>8.4</v>
      </c>
      <c r="H217">
        <v>2559</v>
      </c>
      <c r="I217">
        <v>89</v>
      </c>
      <c r="J217">
        <v>2471</v>
      </c>
      <c r="K217">
        <v>5</v>
      </c>
      <c r="L217" t="s">
        <v>38</v>
      </c>
      <c r="M217" s="2">
        <f t="shared" si="3"/>
        <v>304.64285714285711</v>
      </c>
      <c r="N2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17" s="1">
        <f>F:F/I:I</f>
        <v>6.213483146067416</v>
      </c>
    </row>
    <row r="218" spans="1:15" x14ac:dyDescent="0.3">
      <c r="A218">
        <v>217</v>
      </c>
      <c r="B218">
        <v>40</v>
      </c>
      <c r="C218" t="s">
        <v>11</v>
      </c>
      <c r="D218" t="s">
        <v>18</v>
      </c>
      <c r="E218" t="s">
        <v>19</v>
      </c>
      <c r="F218">
        <v>402</v>
      </c>
      <c r="G218">
        <v>6.9</v>
      </c>
      <c r="H218">
        <v>2282</v>
      </c>
      <c r="I218">
        <v>78</v>
      </c>
      <c r="J218">
        <v>1397</v>
      </c>
      <c r="K218">
        <v>4</v>
      </c>
      <c r="L218" t="s">
        <v>34</v>
      </c>
      <c r="M218" s="2">
        <f t="shared" si="3"/>
        <v>330.72463768115938</v>
      </c>
      <c r="N2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18" s="1">
        <f>F:F/I:I</f>
        <v>5.1538461538461542</v>
      </c>
    </row>
    <row r="219" spans="1:15" x14ac:dyDescent="0.3">
      <c r="A219">
        <v>218</v>
      </c>
      <c r="B219">
        <v>24</v>
      </c>
      <c r="C219" t="s">
        <v>11</v>
      </c>
      <c r="D219" t="s">
        <v>17</v>
      </c>
      <c r="E219" t="s">
        <v>13</v>
      </c>
      <c r="F219">
        <v>555</v>
      </c>
      <c r="G219">
        <v>9.5</v>
      </c>
      <c r="H219">
        <v>2855</v>
      </c>
      <c r="I219">
        <v>95</v>
      </c>
      <c r="J219">
        <v>1565</v>
      </c>
      <c r="K219">
        <v>5</v>
      </c>
      <c r="L219" t="s">
        <v>39</v>
      </c>
      <c r="M219" s="2">
        <f t="shared" si="3"/>
        <v>300.5263157894737</v>
      </c>
      <c r="N2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19" s="1">
        <f>F:F/I:I</f>
        <v>5.8421052631578947</v>
      </c>
    </row>
    <row r="220" spans="1:15" x14ac:dyDescent="0.3">
      <c r="A220">
        <v>219</v>
      </c>
      <c r="B220">
        <v>52</v>
      </c>
      <c r="C220" t="s">
        <v>14</v>
      </c>
      <c r="D220" t="s">
        <v>18</v>
      </c>
      <c r="E220" t="s">
        <v>19</v>
      </c>
      <c r="F220">
        <v>499</v>
      </c>
      <c r="G220">
        <v>9.6</v>
      </c>
      <c r="H220">
        <v>2873</v>
      </c>
      <c r="I220">
        <v>81</v>
      </c>
      <c r="J220">
        <v>1805</v>
      </c>
      <c r="K220">
        <v>5</v>
      </c>
      <c r="L220" t="s">
        <v>38</v>
      </c>
      <c r="M220" s="2">
        <f t="shared" si="3"/>
        <v>299.27083333333337</v>
      </c>
      <c r="N2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20" s="1">
        <f>F:F/I:I</f>
        <v>6.1604938271604937</v>
      </c>
    </row>
    <row r="221" spans="1:15" x14ac:dyDescent="0.3">
      <c r="A221">
        <v>220</v>
      </c>
      <c r="B221">
        <v>43</v>
      </c>
      <c r="C221" t="s">
        <v>11</v>
      </c>
      <c r="D221" t="s">
        <v>12</v>
      </c>
      <c r="E221" t="s">
        <v>13</v>
      </c>
      <c r="F221">
        <v>101</v>
      </c>
      <c r="G221">
        <v>3.2</v>
      </c>
      <c r="H221">
        <v>603</v>
      </c>
      <c r="I221">
        <v>28</v>
      </c>
      <c r="J221">
        <v>417</v>
      </c>
      <c r="K221">
        <v>2</v>
      </c>
      <c r="L221" t="s">
        <v>34</v>
      </c>
      <c r="M221" s="2">
        <f t="shared" si="3"/>
        <v>188.4375</v>
      </c>
      <c r="N2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21" s="1">
        <f>F:F/I:I</f>
        <v>3.6071428571428572</v>
      </c>
    </row>
    <row r="222" spans="1:15" x14ac:dyDescent="0.3">
      <c r="A222">
        <v>221</v>
      </c>
      <c r="B222">
        <v>32</v>
      </c>
      <c r="C222" t="s">
        <v>11</v>
      </c>
      <c r="D222" t="s">
        <v>17</v>
      </c>
      <c r="E222" t="s">
        <v>13</v>
      </c>
      <c r="F222">
        <v>433</v>
      </c>
      <c r="G222">
        <v>6.8</v>
      </c>
      <c r="H222">
        <v>2093</v>
      </c>
      <c r="I222">
        <v>75</v>
      </c>
      <c r="J222">
        <v>1300</v>
      </c>
      <c r="K222">
        <v>4</v>
      </c>
      <c r="L222" t="s">
        <v>40</v>
      </c>
      <c r="M222" s="2">
        <f t="shared" si="3"/>
        <v>307.79411764705884</v>
      </c>
      <c r="N2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22" s="1">
        <f>F:F/I:I</f>
        <v>5.7733333333333334</v>
      </c>
    </row>
    <row r="223" spans="1:15" x14ac:dyDescent="0.3">
      <c r="A223">
        <v>222</v>
      </c>
      <c r="B223">
        <v>32</v>
      </c>
      <c r="C223" t="s">
        <v>11</v>
      </c>
      <c r="D223" t="s">
        <v>17</v>
      </c>
      <c r="E223" t="s">
        <v>13</v>
      </c>
      <c r="F223">
        <v>133</v>
      </c>
      <c r="G223">
        <v>2</v>
      </c>
      <c r="H223">
        <v>1007</v>
      </c>
      <c r="I223">
        <v>31</v>
      </c>
      <c r="J223">
        <v>417</v>
      </c>
      <c r="K223">
        <v>2</v>
      </c>
      <c r="L223" t="s">
        <v>40</v>
      </c>
      <c r="M223" s="2">
        <f t="shared" si="3"/>
        <v>503.5</v>
      </c>
      <c r="N2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23" s="1">
        <f>F:F/I:I</f>
        <v>4.290322580645161</v>
      </c>
    </row>
    <row r="224" spans="1:15" x14ac:dyDescent="0.3">
      <c r="A224">
        <v>223</v>
      </c>
      <c r="B224">
        <v>21</v>
      </c>
      <c r="C224" t="s">
        <v>14</v>
      </c>
      <c r="D224" t="s">
        <v>12</v>
      </c>
      <c r="E224" t="s">
        <v>13</v>
      </c>
      <c r="F224">
        <v>351</v>
      </c>
      <c r="G224">
        <v>6.1</v>
      </c>
      <c r="H224">
        <v>1941</v>
      </c>
      <c r="I224">
        <v>79</v>
      </c>
      <c r="J224">
        <v>1290</v>
      </c>
      <c r="K224">
        <v>4</v>
      </c>
      <c r="L224" t="s">
        <v>39</v>
      </c>
      <c r="M224" s="2">
        <f t="shared" si="3"/>
        <v>318.19672131147541</v>
      </c>
      <c r="N2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24" s="1">
        <f>F:F/I:I</f>
        <v>4.443037974683544</v>
      </c>
    </row>
    <row r="225" spans="1:15" x14ac:dyDescent="0.3">
      <c r="A225">
        <v>224</v>
      </c>
      <c r="B225">
        <v>53</v>
      </c>
      <c r="C225" t="s">
        <v>14</v>
      </c>
      <c r="D225" t="s">
        <v>16</v>
      </c>
      <c r="E225" t="s">
        <v>13</v>
      </c>
      <c r="F225">
        <v>532</v>
      </c>
      <c r="G225">
        <v>10.7</v>
      </c>
      <c r="H225">
        <v>2556</v>
      </c>
      <c r="I225">
        <v>83</v>
      </c>
      <c r="J225">
        <v>2148</v>
      </c>
      <c r="K225">
        <v>5</v>
      </c>
      <c r="L225" t="s">
        <v>38</v>
      </c>
      <c r="M225" s="2">
        <f t="shared" si="3"/>
        <v>238.87850467289721</v>
      </c>
      <c r="N2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25" s="1">
        <f>F:F/I:I</f>
        <v>6.4096385542168672</v>
      </c>
    </row>
    <row r="226" spans="1:15" x14ac:dyDescent="0.3">
      <c r="A226">
        <v>225</v>
      </c>
      <c r="B226">
        <v>27</v>
      </c>
      <c r="C226" t="s">
        <v>11</v>
      </c>
      <c r="D226" t="s">
        <v>17</v>
      </c>
      <c r="E226" t="s">
        <v>13</v>
      </c>
      <c r="F226">
        <v>92</v>
      </c>
      <c r="G226">
        <v>2.5</v>
      </c>
      <c r="H226">
        <v>690</v>
      </c>
      <c r="I226">
        <v>31</v>
      </c>
      <c r="J226">
        <v>563</v>
      </c>
      <c r="K226">
        <v>2</v>
      </c>
      <c r="L226" t="s">
        <v>36</v>
      </c>
      <c r="M226" s="2">
        <f t="shared" si="3"/>
        <v>276</v>
      </c>
      <c r="N2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26" s="1">
        <f>F:F/I:I</f>
        <v>2.967741935483871</v>
      </c>
    </row>
    <row r="227" spans="1:15" x14ac:dyDescent="0.3">
      <c r="A227">
        <v>226</v>
      </c>
      <c r="B227">
        <v>59</v>
      </c>
      <c r="C227" t="s">
        <v>14</v>
      </c>
      <c r="D227" t="s">
        <v>12</v>
      </c>
      <c r="E227" t="s">
        <v>13</v>
      </c>
      <c r="F227">
        <v>511</v>
      </c>
      <c r="G227">
        <v>10.8</v>
      </c>
      <c r="H227">
        <v>2712</v>
      </c>
      <c r="I227">
        <v>97</v>
      </c>
      <c r="J227">
        <v>2438</v>
      </c>
      <c r="K227">
        <v>5</v>
      </c>
      <c r="L227" t="s">
        <v>37</v>
      </c>
      <c r="M227" s="2">
        <f t="shared" si="3"/>
        <v>251.11111111111109</v>
      </c>
      <c r="N2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27" s="1">
        <f>F:F/I:I</f>
        <v>5.268041237113402</v>
      </c>
    </row>
    <row r="228" spans="1:15" x14ac:dyDescent="0.3">
      <c r="A228">
        <v>227</v>
      </c>
      <c r="B228">
        <v>59</v>
      </c>
      <c r="C228" t="s">
        <v>11</v>
      </c>
      <c r="D228" t="s">
        <v>12</v>
      </c>
      <c r="E228" t="s">
        <v>13</v>
      </c>
      <c r="F228">
        <v>384</v>
      </c>
      <c r="G228">
        <v>7</v>
      </c>
      <c r="H228">
        <v>2185</v>
      </c>
      <c r="I228">
        <v>72</v>
      </c>
      <c r="J228">
        <v>1376</v>
      </c>
      <c r="K228">
        <v>4</v>
      </c>
      <c r="L228" t="s">
        <v>37</v>
      </c>
      <c r="M228" s="2">
        <f t="shared" si="3"/>
        <v>312.14285714285717</v>
      </c>
      <c r="N2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28" s="1">
        <f>F:F/I:I</f>
        <v>5.333333333333333</v>
      </c>
    </row>
    <row r="229" spans="1:15" x14ac:dyDescent="0.3">
      <c r="A229">
        <v>228</v>
      </c>
      <c r="B229">
        <v>32</v>
      </c>
      <c r="C229" t="s">
        <v>14</v>
      </c>
      <c r="D229" t="s">
        <v>18</v>
      </c>
      <c r="E229" t="s">
        <v>19</v>
      </c>
      <c r="F229">
        <v>193</v>
      </c>
      <c r="G229">
        <v>5.2</v>
      </c>
      <c r="H229">
        <v>1318</v>
      </c>
      <c r="I229">
        <v>49</v>
      </c>
      <c r="J229">
        <v>626</v>
      </c>
      <c r="K229">
        <v>3</v>
      </c>
      <c r="L229" t="s">
        <v>40</v>
      </c>
      <c r="M229" s="2">
        <f t="shared" si="3"/>
        <v>253.46153846153845</v>
      </c>
      <c r="N2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29" s="1">
        <f>F:F/I:I</f>
        <v>3.9387755102040818</v>
      </c>
    </row>
    <row r="230" spans="1:15" x14ac:dyDescent="0.3">
      <c r="A230">
        <v>229</v>
      </c>
      <c r="B230">
        <v>41</v>
      </c>
      <c r="C230" t="s">
        <v>11</v>
      </c>
      <c r="D230" t="s">
        <v>16</v>
      </c>
      <c r="E230" t="s">
        <v>13</v>
      </c>
      <c r="F230">
        <v>132</v>
      </c>
      <c r="G230">
        <v>3.8</v>
      </c>
      <c r="H230">
        <v>649</v>
      </c>
      <c r="I230">
        <v>25</v>
      </c>
      <c r="J230">
        <v>368</v>
      </c>
      <c r="K230">
        <v>2</v>
      </c>
      <c r="L230" t="s">
        <v>34</v>
      </c>
      <c r="M230" s="2">
        <f t="shared" si="3"/>
        <v>170.78947368421052</v>
      </c>
      <c r="N2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30" s="1">
        <f>F:F/I:I</f>
        <v>5.28</v>
      </c>
    </row>
    <row r="231" spans="1:15" x14ac:dyDescent="0.3">
      <c r="A231">
        <v>230</v>
      </c>
      <c r="B231">
        <v>50</v>
      </c>
      <c r="C231" t="s">
        <v>11</v>
      </c>
      <c r="D231" t="s">
        <v>16</v>
      </c>
      <c r="E231" t="s">
        <v>13</v>
      </c>
      <c r="F231">
        <v>360</v>
      </c>
      <c r="G231">
        <v>7.3</v>
      </c>
      <c r="H231">
        <v>1946</v>
      </c>
      <c r="I231">
        <v>79</v>
      </c>
      <c r="J231">
        <v>1164</v>
      </c>
      <c r="K231">
        <v>4</v>
      </c>
      <c r="L231" t="s">
        <v>38</v>
      </c>
      <c r="M231" s="2">
        <f t="shared" si="3"/>
        <v>266.57534246575341</v>
      </c>
      <c r="N2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31" s="1">
        <f>F:F/I:I</f>
        <v>4.556962025316456</v>
      </c>
    </row>
    <row r="232" spans="1:15" x14ac:dyDescent="0.3">
      <c r="A232">
        <v>231</v>
      </c>
      <c r="B232">
        <v>38</v>
      </c>
      <c r="C232" t="s">
        <v>11</v>
      </c>
      <c r="D232" t="s">
        <v>18</v>
      </c>
      <c r="E232" t="s">
        <v>19</v>
      </c>
      <c r="F232">
        <v>159</v>
      </c>
      <c r="G232">
        <v>2.2999999999999998</v>
      </c>
      <c r="H232">
        <v>1083</v>
      </c>
      <c r="I232">
        <v>32</v>
      </c>
      <c r="J232">
        <v>526</v>
      </c>
      <c r="K232">
        <v>2</v>
      </c>
      <c r="L232" t="s">
        <v>35</v>
      </c>
      <c r="M232" s="2">
        <f t="shared" si="3"/>
        <v>470.86956521739137</v>
      </c>
      <c r="N2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32" s="1">
        <f>F:F/I:I</f>
        <v>4.96875</v>
      </c>
    </row>
    <row r="233" spans="1:15" x14ac:dyDescent="0.3">
      <c r="A233">
        <v>232</v>
      </c>
      <c r="B233">
        <v>31</v>
      </c>
      <c r="C233" t="s">
        <v>11</v>
      </c>
      <c r="D233" t="s">
        <v>18</v>
      </c>
      <c r="E233" t="s">
        <v>19</v>
      </c>
      <c r="F233">
        <v>495</v>
      </c>
      <c r="G233">
        <v>8.9</v>
      </c>
      <c r="H233">
        <v>2855</v>
      </c>
      <c r="I233">
        <v>91</v>
      </c>
      <c r="J233">
        <v>2150</v>
      </c>
      <c r="K233">
        <v>5</v>
      </c>
      <c r="L233" t="s">
        <v>40</v>
      </c>
      <c r="M233" s="2">
        <f t="shared" si="3"/>
        <v>320.7865168539326</v>
      </c>
      <c r="N2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33" s="1">
        <f>F:F/I:I</f>
        <v>5.4395604395604398</v>
      </c>
    </row>
    <row r="234" spans="1:15" x14ac:dyDescent="0.3">
      <c r="A234">
        <v>233</v>
      </c>
      <c r="B234">
        <v>35</v>
      </c>
      <c r="C234" t="s">
        <v>11</v>
      </c>
      <c r="D234" t="s">
        <v>12</v>
      </c>
      <c r="E234" t="s">
        <v>13</v>
      </c>
      <c r="F234">
        <v>537</v>
      </c>
      <c r="G234">
        <v>10</v>
      </c>
      <c r="H234">
        <v>2720</v>
      </c>
      <c r="I234">
        <v>83</v>
      </c>
      <c r="J234">
        <v>1763</v>
      </c>
      <c r="K234">
        <v>5</v>
      </c>
      <c r="L234" t="s">
        <v>35</v>
      </c>
      <c r="M234" s="2">
        <f t="shared" si="3"/>
        <v>272</v>
      </c>
      <c r="N2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34" s="1">
        <f>F:F/I:I</f>
        <v>6.4698795180722888</v>
      </c>
    </row>
    <row r="235" spans="1:15" x14ac:dyDescent="0.3">
      <c r="A235">
        <v>234</v>
      </c>
      <c r="B235">
        <v>36</v>
      </c>
      <c r="C235" t="s">
        <v>14</v>
      </c>
      <c r="D235" t="s">
        <v>17</v>
      </c>
      <c r="E235" t="s">
        <v>13</v>
      </c>
      <c r="F235">
        <v>129</v>
      </c>
      <c r="G235">
        <v>3.4</v>
      </c>
      <c r="H235">
        <v>1059</v>
      </c>
      <c r="I235">
        <v>27</v>
      </c>
      <c r="J235">
        <v>580</v>
      </c>
      <c r="K235">
        <v>2</v>
      </c>
      <c r="L235" t="s">
        <v>35</v>
      </c>
      <c r="M235" s="2">
        <f t="shared" si="3"/>
        <v>311.47058823529414</v>
      </c>
      <c r="N2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35" s="1">
        <f>F:F/I:I</f>
        <v>4.7777777777777777</v>
      </c>
    </row>
    <row r="236" spans="1:15" x14ac:dyDescent="0.3">
      <c r="A236">
        <v>235</v>
      </c>
      <c r="B236">
        <v>53</v>
      </c>
      <c r="C236" t="s">
        <v>11</v>
      </c>
      <c r="D236" t="s">
        <v>18</v>
      </c>
      <c r="E236" t="s">
        <v>19</v>
      </c>
      <c r="F236">
        <v>132</v>
      </c>
      <c r="G236">
        <v>3.8</v>
      </c>
      <c r="H236">
        <v>636</v>
      </c>
      <c r="I236">
        <v>28</v>
      </c>
      <c r="J236">
        <v>529</v>
      </c>
      <c r="K236">
        <v>2</v>
      </c>
      <c r="L236" t="s">
        <v>38</v>
      </c>
      <c r="M236" s="2">
        <f t="shared" si="3"/>
        <v>167.36842105263159</v>
      </c>
      <c r="N2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36" s="1">
        <f>F:F/I:I</f>
        <v>4.7142857142857144</v>
      </c>
    </row>
    <row r="237" spans="1:15" x14ac:dyDescent="0.3">
      <c r="A237">
        <v>236</v>
      </c>
      <c r="B237">
        <v>19</v>
      </c>
      <c r="C237" t="s">
        <v>14</v>
      </c>
      <c r="D237" t="s">
        <v>12</v>
      </c>
      <c r="E237" t="s">
        <v>13</v>
      </c>
      <c r="F237">
        <v>37</v>
      </c>
      <c r="G237">
        <v>1.4</v>
      </c>
      <c r="H237">
        <v>369</v>
      </c>
      <c r="I237">
        <v>18</v>
      </c>
      <c r="J237">
        <v>295</v>
      </c>
      <c r="K237">
        <v>1</v>
      </c>
      <c r="L237" t="s">
        <v>42</v>
      </c>
      <c r="M237" s="2">
        <f t="shared" si="3"/>
        <v>263.57142857142861</v>
      </c>
      <c r="N2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37" s="1">
        <f>F:F/I:I</f>
        <v>2.0555555555555554</v>
      </c>
    </row>
    <row r="238" spans="1:15" x14ac:dyDescent="0.3">
      <c r="A238">
        <v>237</v>
      </c>
      <c r="B238">
        <v>20</v>
      </c>
      <c r="C238" t="s">
        <v>14</v>
      </c>
      <c r="D238" t="s">
        <v>16</v>
      </c>
      <c r="E238" t="s">
        <v>13</v>
      </c>
      <c r="F238">
        <v>524</v>
      </c>
      <c r="G238">
        <v>8.9</v>
      </c>
      <c r="H238">
        <v>2549</v>
      </c>
      <c r="I238">
        <v>88</v>
      </c>
      <c r="J238">
        <v>1730</v>
      </c>
      <c r="K238">
        <v>5</v>
      </c>
      <c r="L238" t="s">
        <v>39</v>
      </c>
      <c r="M238" s="2">
        <f t="shared" si="3"/>
        <v>286.40449438202245</v>
      </c>
      <c r="N2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38" s="1">
        <f>F:F/I:I</f>
        <v>5.9545454545454541</v>
      </c>
    </row>
    <row r="239" spans="1:15" x14ac:dyDescent="0.3">
      <c r="A239">
        <v>238</v>
      </c>
      <c r="B239">
        <v>19</v>
      </c>
      <c r="C239" t="s">
        <v>14</v>
      </c>
      <c r="D239" t="s">
        <v>17</v>
      </c>
      <c r="E239" t="s">
        <v>13</v>
      </c>
      <c r="F239">
        <v>425</v>
      </c>
      <c r="G239">
        <v>6.9</v>
      </c>
      <c r="H239">
        <v>2142</v>
      </c>
      <c r="I239">
        <v>66</v>
      </c>
      <c r="J239">
        <v>1130</v>
      </c>
      <c r="K239">
        <v>4</v>
      </c>
      <c r="L239" t="s">
        <v>42</v>
      </c>
      <c r="M239" s="2">
        <f t="shared" si="3"/>
        <v>310.43478260869563</v>
      </c>
      <c r="N2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39" s="1">
        <f>F:F/I:I</f>
        <v>6.4393939393939394</v>
      </c>
    </row>
    <row r="240" spans="1:15" x14ac:dyDescent="0.3">
      <c r="A240">
        <v>239</v>
      </c>
      <c r="B240">
        <v>53</v>
      </c>
      <c r="C240" t="s">
        <v>11</v>
      </c>
      <c r="D240" t="s">
        <v>17</v>
      </c>
      <c r="E240" t="s">
        <v>13</v>
      </c>
      <c r="F240">
        <v>64</v>
      </c>
      <c r="G240">
        <v>1.7</v>
      </c>
      <c r="H240">
        <v>585</v>
      </c>
      <c r="I240">
        <v>13</v>
      </c>
      <c r="J240">
        <v>107</v>
      </c>
      <c r="K240">
        <v>1</v>
      </c>
      <c r="L240" t="s">
        <v>38</v>
      </c>
      <c r="M240" s="2">
        <f t="shared" si="3"/>
        <v>344.11764705882354</v>
      </c>
      <c r="N2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40" s="1">
        <f>F:F/I:I</f>
        <v>4.9230769230769234</v>
      </c>
    </row>
    <row r="241" spans="1:15" x14ac:dyDescent="0.3">
      <c r="A241">
        <v>240</v>
      </c>
      <c r="B241">
        <v>33</v>
      </c>
      <c r="C241" t="s">
        <v>14</v>
      </c>
      <c r="D241" t="s">
        <v>18</v>
      </c>
      <c r="E241" t="s">
        <v>19</v>
      </c>
      <c r="F241">
        <v>573</v>
      </c>
      <c r="G241">
        <v>10.8</v>
      </c>
      <c r="H241">
        <v>2711</v>
      </c>
      <c r="I241">
        <v>96</v>
      </c>
      <c r="J241">
        <v>2118</v>
      </c>
      <c r="K241">
        <v>5</v>
      </c>
      <c r="L241" t="s">
        <v>40</v>
      </c>
      <c r="M241" s="2">
        <f t="shared" si="3"/>
        <v>251.0185185185185</v>
      </c>
      <c r="N2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41" s="1">
        <f>F:F/I:I</f>
        <v>5.96875</v>
      </c>
    </row>
    <row r="242" spans="1:15" x14ac:dyDescent="0.3">
      <c r="A242">
        <v>241</v>
      </c>
      <c r="B242">
        <v>57</v>
      </c>
      <c r="C242" t="s">
        <v>14</v>
      </c>
      <c r="D242" t="s">
        <v>15</v>
      </c>
      <c r="E242" t="s">
        <v>13</v>
      </c>
      <c r="F242">
        <v>45</v>
      </c>
      <c r="G242">
        <v>1.7</v>
      </c>
      <c r="H242">
        <v>302</v>
      </c>
      <c r="I242">
        <v>16</v>
      </c>
      <c r="J242">
        <v>191</v>
      </c>
      <c r="K242">
        <v>1</v>
      </c>
      <c r="L242" t="s">
        <v>37</v>
      </c>
      <c r="M242" s="2">
        <f t="shared" si="3"/>
        <v>177.64705882352942</v>
      </c>
      <c r="N2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42" s="1">
        <f>F:F/I:I</f>
        <v>2.8125</v>
      </c>
    </row>
    <row r="243" spans="1:15" x14ac:dyDescent="0.3">
      <c r="A243">
        <v>242</v>
      </c>
      <c r="B243">
        <v>37</v>
      </c>
      <c r="C243" t="s">
        <v>14</v>
      </c>
      <c r="D243" t="s">
        <v>12</v>
      </c>
      <c r="E243" t="s">
        <v>13</v>
      </c>
      <c r="F243">
        <v>564</v>
      </c>
      <c r="G243">
        <v>11.7</v>
      </c>
      <c r="H243">
        <v>2764</v>
      </c>
      <c r="I243">
        <v>81</v>
      </c>
      <c r="J243">
        <v>2133</v>
      </c>
      <c r="K243">
        <v>5</v>
      </c>
      <c r="L243" t="s">
        <v>35</v>
      </c>
      <c r="M243" s="2">
        <f t="shared" si="3"/>
        <v>236.23931623931625</v>
      </c>
      <c r="N2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43" s="1">
        <f>F:F/I:I</f>
        <v>6.9629629629629628</v>
      </c>
    </row>
    <row r="244" spans="1:15" x14ac:dyDescent="0.3">
      <c r="A244">
        <v>243</v>
      </c>
      <c r="B244">
        <v>51</v>
      </c>
      <c r="C244" t="s">
        <v>11</v>
      </c>
      <c r="D244" t="s">
        <v>17</v>
      </c>
      <c r="E244" t="s">
        <v>13</v>
      </c>
      <c r="F244">
        <v>162</v>
      </c>
      <c r="G244">
        <v>3.5</v>
      </c>
      <c r="H244">
        <v>761</v>
      </c>
      <c r="I244">
        <v>36</v>
      </c>
      <c r="J244">
        <v>338</v>
      </c>
      <c r="K244">
        <v>2</v>
      </c>
      <c r="L244" t="s">
        <v>38</v>
      </c>
      <c r="M244" s="2">
        <f t="shared" si="3"/>
        <v>217.42857142857142</v>
      </c>
      <c r="N2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44" s="1">
        <f>F:F/I:I</f>
        <v>4.5</v>
      </c>
    </row>
    <row r="245" spans="1:15" x14ac:dyDescent="0.3">
      <c r="A245">
        <v>244</v>
      </c>
      <c r="B245">
        <v>44</v>
      </c>
      <c r="C245" t="s">
        <v>11</v>
      </c>
      <c r="D245" t="s">
        <v>16</v>
      </c>
      <c r="E245" t="s">
        <v>13</v>
      </c>
      <c r="F245">
        <v>451</v>
      </c>
      <c r="G245">
        <v>6.5</v>
      </c>
      <c r="H245">
        <v>2378</v>
      </c>
      <c r="I245">
        <v>69</v>
      </c>
      <c r="J245">
        <v>1341</v>
      </c>
      <c r="K245">
        <v>4</v>
      </c>
      <c r="L245" t="s">
        <v>34</v>
      </c>
      <c r="M245" s="2">
        <f t="shared" si="3"/>
        <v>365.84615384615387</v>
      </c>
      <c r="N2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45" s="1">
        <f>F:F/I:I</f>
        <v>6.5362318840579707</v>
      </c>
    </row>
    <row r="246" spans="1:15" x14ac:dyDescent="0.3">
      <c r="A246">
        <v>245</v>
      </c>
      <c r="B246">
        <v>35</v>
      </c>
      <c r="C246" t="s">
        <v>11</v>
      </c>
      <c r="D246" t="s">
        <v>17</v>
      </c>
      <c r="E246" t="s">
        <v>13</v>
      </c>
      <c r="F246">
        <v>30</v>
      </c>
      <c r="G246">
        <v>1.3</v>
      </c>
      <c r="H246">
        <v>479</v>
      </c>
      <c r="I246">
        <v>16</v>
      </c>
      <c r="J246">
        <v>253</v>
      </c>
      <c r="K246">
        <v>1</v>
      </c>
      <c r="L246" t="s">
        <v>35</v>
      </c>
      <c r="M246" s="2">
        <f t="shared" si="3"/>
        <v>368.46153846153845</v>
      </c>
      <c r="N2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46" s="1">
        <f>F:F/I:I</f>
        <v>1.875</v>
      </c>
    </row>
    <row r="247" spans="1:15" x14ac:dyDescent="0.3">
      <c r="A247">
        <v>246</v>
      </c>
      <c r="B247">
        <v>29</v>
      </c>
      <c r="C247" t="s">
        <v>11</v>
      </c>
      <c r="D247" t="s">
        <v>16</v>
      </c>
      <c r="E247" t="s">
        <v>13</v>
      </c>
      <c r="F247">
        <v>202</v>
      </c>
      <c r="G247">
        <v>5</v>
      </c>
      <c r="H247">
        <v>1542</v>
      </c>
      <c r="I247">
        <v>45</v>
      </c>
      <c r="J247">
        <v>844</v>
      </c>
      <c r="K247">
        <v>3</v>
      </c>
      <c r="L247" t="s">
        <v>36</v>
      </c>
      <c r="M247" s="2">
        <f t="shared" si="3"/>
        <v>308.39999999999998</v>
      </c>
      <c r="N2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47" s="1">
        <f>F:F/I:I</f>
        <v>4.4888888888888889</v>
      </c>
    </row>
    <row r="248" spans="1:15" x14ac:dyDescent="0.3">
      <c r="A248">
        <v>247</v>
      </c>
      <c r="B248">
        <v>33</v>
      </c>
      <c r="C248" t="s">
        <v>11</v>
      </c>
      <c r="D248" t="s">
        <v>15</v>
      </c>
      <c r="E248" t="s">
        <v>13</v>
      </c>
      <c r="F248">
        <v>71</v>
      </c>
      <c r="G248">
        <v>1.5</v>
      </c>
      <c r="H248">
        <v>590</v>
      </c>
      <c r="I248">
        <v>17</v>
      </c>
      <c r="J248">
        <v>257</v>
      </c>
      <c r="K248">
        <v>1</v>
      </c>
      <c r="L248" t="s">
        <v>40</v>
      </c>
      <c r="M248" s="2">
        <f t="shared" si="3"/>
        <v>393.33333333333331</v>
      </c>
      <c r="N2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48" s="1">
        <f>F:F/I:I</f>
        <v>4.1764705882352944</v>
      </c>
    </row>
    <row r="249" spans="1:15" x14ac:dyDescent="0.3">
      <c r="A249">
        <v>248</v>
      </c>
      <c r="B249">
        <v>19</v>
      </c>
      <c r="C249" t="s">
        <v>11</v>
      </c>
      <c r="D249" t="s">
        <v>15</v>
      </c>
      <c r="E249" t="s">
        <v>13</v>
      </c>
      <c r="F249">
        <v>314</v>
      </c>
      <c r="G249">
        <v>6.2</v>
      </c>
      <c r="H249">
        <v>2205</v>
      </c>
      <c r="I249">
        <v>63</v>
      </c>
      <c r="J249">
        <v>1066</v>
      </c>
      <c r="K249">
        <v>4</v>
      </c>
      <c r="L249" t="s">
        <v>42</v>
      </c>
      <c r="M249" s="2">
        <f t="shared" si="3"/>
        <v>355.64516129032256</v>
      </c>
      <c r="N2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49" s="1">
        <f>F:F/I:I</f>
        <v>4.9841269841269842</v>
      </c>
    </row>
    <row r="250" spans="1:15" x14ac:dyDescent="0.3">
      <c r="A250">
        <v>249</v>
      </c>
      <c r="B250">
        <v>50</v>
      </c>
      <c r="C250" t="s">
        <v>14</v>
      </c>
      <c r="D250" t="s">
        <v>12</v>
      </c>
      <c r="E250" t="s">
        <v>13</v>
      </c>
      <c r="F250">
        <v>168</v>
      </c>
      <c r="G250">
        <v>4</v>
      </c>
      <c r="H250">
        <v>866</v>
      </c>
      <c r="I250">
        <v>22</v>
      </c>
      <c r="J250">
        <v>581</v>
      </c>
      <c r="K250">
        <v>2</v>
      </c>
      <c r="L250" t="s">
        <v>38</v>
      </c>
      <c r="M250" s="2">
        <f t="shared" si="3"/>
        <v>216.5</v>
      </c>
      <c r="N2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50" s="1">
        <f>F:F/I:I</f>
        <v>7.6363636363636367</v>
      </c>
    </row>
    <row r="251" spans="1:15" x14ac:dyDescent="0.3">
      <c r="A251">
        <v>250</v>
      </c>
      <c r="B251">
        <v>58</v>
      </c>
      <c r="C251" t="s">
        <v>14</v>
      </c>
      <c r="D251" t="s">
        <v>15</v>
      </c>
      <c r="E251" t="s">
        <v>13</v>
      </c>
      <c r="F251">
        <v>75</v>
      </c>
      <c r="G251">
        <v>1.9</v>
      </c>
      <c r="H251">
        <v>537</v>
      </c>
      <c r="I251">
        <v>13</v>
      </c>
      <c r="J251">
        <v>230</v>
      </c>
      <c r="K251">
        <v>1</v>
      </c>
      <c r="L251" t="s">
        <v>37</v>
      </c>
      <c r="M251" s="2">
        <f t="shared" si="3"/>
        <v>282.63157894736844</v>
      </c>
      <c r="N2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51" s="1">
        <f>F:F/I:I</f>
        <v>5.7692307692307692</v>
      </c>
    </row>
    <row r="252" spans="1:15" x14ac:dyDescent="0.3">
      <c r="A252">
        <v>251</v>
      </c>
      <c r="B252">
        <v>29</v>
      </c>
      <c r="C252" t="s">
        <v>14</v>
      </c>
      <c r="D252" t="s">
        <v>17</v>
      </c>
      <c r="E252" t="s">
        <v>13</v>
      </c>
      <c r="F252">
        <v>42</v>
      </c>
      <c r="G252">
        <v>1.4</v>
      </c>
      <c r="H252">
        <v>324</v>
      </c>
      <c r="I252">
        <v>13</v>
      </c>
      <c r="J252">
        <v>272</v>
      </c>
      <c r="K252">
        <v>1</v>
      </c>
      <c r="L252" t="s">
        <v>36</v>
      </c>
      <c r="M252" s="2">
        <f t="shared" si="3"/>
        <v>231.42857142857144</v>
      </c>
      <c r="N2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52" s="1">
        <f>F:F/I:I</f>
        <v>3.2307692307692308</v>
      </c>
    </row>
    <row r="253" spans="1:15" x14ac:dyDescent="0.3">
      <c r="A253">
        <v>252</v>
      </c>
      <c r="B253">
        <v>23</v>
      </c>
      <c r="C253" t="s">
        <v>14</v>
      </c>
      <c r="D253" t="s">
        <v>17</v>
      </c>
      <c r="E253" t="s">
        <v>13</v>
      </c>
      <c r="F253">
        <v>441</v>
      </c>
      <c r="G253">
        <v>7.9</v>
      </c>
      <c r="H253">
        <v>2332</v>
      </c>
      <c r="I253">
        <v>78</v>
      </c>
      <c r="J253">
        <v>1477</v>
      </c>
      <c r="K253">
        <v>4</v>
      </c>
      <c r="L253" t="s">
        <v>39</v>
      </c>
      <c r="M253" s="2">
        <f t="shared" si="3"/>
        <v>295.18987341772151</v>
      </c>
      <c r="N2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53" s="1">
        <f>F:F/I:I</f>
        <v>5.6538461538461542</v>
      </c>
    </row>
    <row r="254" spans="1:15" x14ac:dyDescent="0.3">
      <c r="A254">
        <v>253</v>
      </c>
      <c r="B254">
        <v>22</v>
      </c>
      <c r="C254" t="s">
        <v>11</v>
      </c>
      <c r="D254" t="s">
        <v>15</v>
      </c>
      <c r="E254" t="s">
        <v>13</v>
      </c>
      <c r="F254">
        <v>523</v>
      </c>
      <c r="G254">
        <v>10.5</v>
      </c>
      <c r="H254">
        <v>2460</v>
      </c>
      <c r="I254">
        <v>99</v>
      </c>
      <c r="J254">
        <v>1787</v>
      </c>
      <c r="K254">
        <v>5</v>
      </c>
      <c r="L254" t="s">
        <v>39</v>
      </c>
      <c r="M254" s="2">
        <f t="shared" si="3"/>
        <v>234.28571428571428</v>
      </c>
      <c r="N2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54" s="1">
        <f>F:F/I:I</f>
        <v>5.2828282828282829</v>
      </c>
    </row>
    <row r="255" spans="1:15" x14ac:dyDescent="0.3">
      <c r="A255">
        <v>254</v>
      </c>
      <c r="B255">
        <v>48</v>
      </c>
      <c r="C255" t="s">
        <v>14</v>
      </c>
      <c r="D255" t="s">
        <v>12</v>
      </c>
      <c r="E255" t="s">
        <v>13</v>
      </c>
      <c r="F255">
        <v>100</v>
      </c>
      <c r="G255">
        <v>2.4</v>
      </c>
      <c r="H255">
        <v>982</v>
      </c>
      <c r="I255">
        <v>31</v>
      </c>
      <c r="J255">
        <v>478</v>
      </c>
      <c r="K255">
        <v>2</v>
      </c>
      <c r="L255" t="s">
        <v>41</v>
      </c>
      <c r="M255" s="2">
        <f t="shared" si="3"/>
        <v>409.16666666666669</v>
      </c>
      <c r="N2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55" s="1">
        <f>F:F/I:I</f>
        <v>3.225806451612903</v>
      </c>
    </row>
    <row r="256" spans="1:15" x14ac:dyDescent="0.3">
      <c r="A256">
        <v>255</v>
      </c>
      <c r="B256">
        <v>24</v>
      </c>
      <c r="C256" t="s">
        <v>14</v>
      </c>
      <c r="D256" t="s">
        <v>17</v>
      </c>
      <c r="E256" t="s">
        <v>13</v>
      </c>
      <c r="F256">
        <v>52</v>
      </c>
      <c r="G256">
        <v>1.2</v>
      </c>
      <c r="H256">
        <v>398</v>
      </c>
      <c r="I256">
        <v>14</v>
      </c>
      <c r="J256">
        <v>172</v>
      </c>
      <c r="K256">
        <v>1</v>
      </c>
      <c r="L256" t="s">
        <v>39</v>
      </c>
      <c r="M256" s="2">
        <f t="shared" si="3"/>
        <v>331.66666666666669</v>
      </c>
      <c r="N2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56" s="1">
        <f>F:F/I:I</f>
        <v>3.7142857142857144</v>
      </c>
    </row>
    <row r="257" spans="1:15" x14ac:dyDescent="0.3">
      <c r="A257">
        <v>256</v>
      </c>
      <c r="B257">
        <v>46</v>
      </c>
      <c r="C257" t="s">
        <v>14</v>
      </c>
      <c r="D257" t="s">
        <v>17</v>
      </c>
      <c r="E257" t="s">
        <v>13</v>
      </c>
      <c r="F257">
        <v>397</v>
      </c>
      <c r="G257">
        <v>7</v>
      </c>
      <c r="H257">
        <v>2352</v>
      </c>
      <c r="I257">
        <v>77</v>
      </c>
      <c r="J257">
        <v>1101</v>
      </c>
      <c r="K257">
        <v>4</v>
      </c>
      <c r="L257" t="s">
        <v>41</v>
      </c>
      <c r="M257" s="2">
        <f t="shared" si="3"/>
        <v>336</v>
      </c>
      <c r="N2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57" s="1">
        <f>F:F/I:I</f>
        <v>5.1558441558441555</v>
      </c>
    </row>
    <row r="258" spans="1:15" x14ac:dyDescent="0.3">
      <c r="A258">
        <v>257</v>
      </c>
      <c r="B258">
        <v>52</v>
      </c>
      <c r="C258" t="s">
        <v>11</v>
      </c>
      <c r="D258" t="s">
        <v>12</v>
      </c>
      <c r="E258" t="s">
        <v>13</v>
      </c>
      <c r="F258">
        <v>424</v>
      </c>
      <c r="G258">
        <v>7.7</v>
      </c>
      <c r="H258">
        <v>1863</v>
      </c>
      <c r="I258">
        <v>65</v>
      </c>
      <c r="J258">
        <v>1116</v>
      </c>
      <c r="K258">
        <v>4</v>
      </c>
      <c r="L258" t="s">
        <v>38</v>
      </c>
      <c r="M258" s="2">
        <f t="shared" ref="M258:M321" si="4">H:H/G:G</f>
        <v>241.94805194805195</v>
      </c>
      <c r="N2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58" s="1">
        <f>F:F/I:I</f>
        <v>6.523076923076923</v>
      </c>
    </row>
    <row r="259" spans="1:15" x14ac:dyDescent="0.3">
      <c r="A259">
        <v>258</v>
      </c>
      <c r="B259">
        <v>19</v>
      </c>
      <c r="C259" t="s">
        <v>14</v>
      </c>
      <c r="D259" t="s">
        <v>12</v>
      </c>
      <c r="E259" t="s">
        <v>13</v>
      </c>
      <c r="F259">
        <v>272</v>
      </c>
      <c r="G259">
        <v>5</v>
      </c>
      <c r="H259">
        <v>1655</v>
      </c>
      <c r="I259">
        <v>45</v>
      </c>
      <c r="J259">
        <v>686</v>
      </c>
      <c r="K259">
        <v>3</v>
      </c>
      <c r="L259" t="s">
        <v>42</v>
      </c>
      <c r="M259" s="2">
        <f t="shared" si="4"/>
        <v>331</v>
      </c>
      <c r="N2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59" s="1">
        <f>F:F/I:I</f>
        <v>6.0444444444444443</v>
      </c>
    </row>
    <row r="260" spans="1:15" x14ac:dyDescent="0.3">
      <c r="A260">
        <v>259</v>
      </c>
      <c r="B260">
        <v>18</v>
      </c>
      <c r="C260" t="s">
        <v>11</v>
      </c>
      <c r="D260" t="s">
        <v>12</v>
      </c>
      <c r="E260" t="s">
        <v>13</v>
      </c>
      <c r="F260">
        <v>201</v>
      </c>
      <c r="G260">
        <v>4</v>
      </c>
      <c r="H260">
        <v>1791</v>
      </c>
      <c r="I260">
        <v>50</v>
      </c>
      <c r="J260">
        <v>914</v>
      </c>
      <c r="K260">
        <v>3</v>
      </c>
      <c r="L260" t="s">
        <v>42</v>
      </c>
      <c r="M260" s="2">
        <f t="shared" si="4"/>
        <v>447.75</v>
      </c>
      <c r="N2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260" s="1">
        <f>F:F/I:I</f>
        <v>4.0199999999999996</v>
      </c>
    </row>
    <row r="261" spans="1:15" x14ac:dyDescent="0.3">
      <c r="A261">
        <v>260</v>
      </c>
      <c r="B261">
        <v>49</v>
      </c>
      <c r="C261" t="s">
        <v>14</v>
      </c>
      <c r="D261" t="s">
        <v>12</v>
      </c>
      <c r="E261" t="s">
        <v>13</v>
      </c>
      <c r="F261">
        <v>570</v>
      </c>
      <c r="G261">
        <v>9</v>
      </c>
      <c r="H261">
        <v>2613</v>
      </c>
      <c r="I261">
        <v>98</v>
      </c>
      <c r="J261">
        <v>2497</v>
      </c>
      <c r="K261">
        <v>5</v>
      </c>
      <c r="L261" t="s">
        <v>41</v>
      </c>
      <c r="M261" s="2">
        <f t="shared" si="4"/>
        <v>290.33333333333331</v>
      </c>
      <c r="N2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61" s="1">
        <f>F:F/I:I</f>
        <v>5.8163265306122449</v>
      </c>
    </row>
    <row r="262" spans="1:15" x14ac:dyDescent="0.3">
      <c r="A262">
        <v>261</v>
      </c>
      <c r="B262">
        <v>43</v>
      </c>
      <c r="C262" t="s">
        <v>14</v>
      </c>
      <c r="D262" t="s">
        <v>12</v>
      </c>
      <c r="E262" t="s">
        <v>13</v>
      </c>
      <c r="F262">
        <v>64</v>
      </c>
      <c r="G262">
        <v>1.3</v>
      </c>
      <c r="H262">
        <v>490</v>
      </c>
      <c r="I262">
        <v>14</v>
      </c>
      <c r="J262">
        <v>151</v>
      </c>
      <c r="K262">
        <v>1</v>
      </c>
      <c r="L262" t="s">
        <v>34</v>
      </c>
      <c r="M262" s="2">
        <f t="shared" si="4"/>
        <v>376.92307692307691</v>
      </c>
      <c r="N2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62" s="1">
        <f>F:F/I:I</f>
        <v>4.5714285714285712</v>
      </c>
    </row>
    <row r="263" spans="1:15" x14ac:dyDescent="0.3">
      <c r="A263">
        <v>262</v>
      </c>
      <c r="B263">
        <v>46</v>
      </c>
      <c r="C263" t="s">
        <v>14</v>
      </c>
      <c r="D263" t="s">
        <v>18</v>
      </c>
      <c r="E263" t="s">
        <v>19</v>
      </c>
      <c r="F263">
        <v>334</v>
      </c>
      <c r="G263">
        <v>6.6</v>
      </c>
      <c r="H263">
        <v>2394</v>
      </c>
      <c r="I263">
        <v>68</v>
      </c>
      <c r="J263">
        <v>1227</v>
      </c>
      <c r="K263">
        <v>4</v>
      </c>
      <c r="L263" t="s">
        <v>41</v>
      </c>
      <c r="M263" s="2">
        <f t="shared" si="4"/>
        <v>362.72727272727275</v>
      </c>
      <c r="N2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63" s="1">
        <f>F:F/I:I</f>
        <v>4.9117647058823533</v>
      </c>
    </row>
    <row r="264" spans="1:15" x14ac:dyDescent="0.3">
      <c r="A264">
        <v>263</v>
      </c>
      <c r="B264">
        <v>34</v>
      </c>
      <c r="C264" t="s">
        <v>14</v>
      </c>
      <c r="D264" t="s">
        <v>18</v>
      </c>
      <c r="E264" t="s">
        <v>19</v>
      </c>
      <c r="F264">
        <v>518</v>
      </c>
      <c r="G264">
        <v>9.6</v>
      </c>
      <c r="H264">
        <v>2954</v>
      </c>
      <c r="I264">
        <v>93</v>
      </c>
      <c r="J264">
        <v>2125</v>
      </c>
      <c r="K264">
        <v>5</v>
      </c>
      <c r="L264" t="s">
        <v>40</v>
      </c>
      <c r="M264" s="2">
        <f t="shared" si="4"/>
        <v>307.70833333333337</v>
      </c>
      <c r="N2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64" s="1">
        <f>F:F/I:I</f>
        <v>5.56989247311828</v>
      </c>
    </row>
    <row r="265" spans="1:15" x14ac:dyDescent="0.3">
      <c r="A265">
        <v>264</v>
      </c>
      <c r="B265">
        <v>57</v>
      </c>
      <c r="C265" t="s">
        <v>11</v>
      </c>
      <c r="D265" t="s">
        <v>16</v>
      </c>
      <c r="E265" t="s">
        <v>13</v>
      </c>
      <c r="F265">
        <v>70</v>
      </c>
      <c r="G265">
        <v>1.7</v>
      </c>
      <c r="H265">
        <v>359</v>
      </c>
      <c r="I265">
        <v>10</v>
      </c>
      <c r="J265">
        <v>109</v>
      </c>
      <c r="K265">
        <v>1</v>
      </c>
      <c r="L265" t="s">
        <v>37</v>
      </c>
      <c r="M265" s="2">
        <f t="shared" si="4"/>
        <v>211.1764705882353</v>
      </c>
      <c r="N2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65" s="1">
        <f>F:F/I:I</f>
        <v>7</v>
      </c>
    </row>
    <row r="266" spans="1:15" x14ac:dyDescent="0.3">
      <c r="A266">
        <v>265</v>
      </c>
      <c r="B266">
        <v>40</v>
      </c>
      <c r="C266" t="s">
        <v>14</v>
      </c>
      <c r="D266" t="s">
        <v>18</v>
      </c>
      <c r="E266" t="s">
        <v>19</v>
      </c>
      <c r="F266">
        <v>334</v>
      </c>
      <c r="G266">
        <v>6.8</v>
      </c>
      <c r="H266">
        <v>2000</v>
      </c>
      <c r="I266">
        <v>77</v>
      </c>
      <c r="J266">
        <v>1079</v>
      </c>
      <c r="K266">
        <v>4</v>
      </c>
      <c r="L266" t="s">
        <v>34</v>
      </c>
      <c r="M266" s="2">
        <f t="shared" si="4"/>
        <v>294.11764705882354</v>
      </c>
      <c r="N2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66" s="1">
        <f>F:F/I:I</f>
        <v>4.337662337662338</v>
      </c>
    </row>
    <row r="267" spans="1:15" x14ac:dyDescent="0.3">
      <c r="A267">
        <v>266</v>
      </c>
      <c r="B267">
        <v>25</v>
      </c>
      <c r="C267" t="s">
        <v>11</v>
      </c>
      <c r="D267" t="s">
        <v>12</v>
      </c>
      <c r="E267" t="s">
        <v>13</v>
      </c>
      <c r="F267">
        <v>563</v>
      </c>
      <c r="G267">
        <v>8.4</v>
      </c>
      <c r="H267">
        <v>2849</v>
      </c>
      <c r="I267">
        <v>85</v>
      </c>
      <c r="J267">
        <v>1508</v>
      </c>
      <c r="K267">
        <v>5</v>
      </c>
      <c r="L267" t="s">
        <v>36</v>
      </c>
      <c r="M267" s="2">
        <f t="shared" si="4"/>
        <v>339.16666666666663</v>
      </c>
      <c r="N2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67" s="1">
        <f>F:F/I:I</f>
        <v>6.6235294117647054</v>
      </c>
    </row>
    <row r="268" spans="1:15" x14ac:dyDescent="0.3">
      <c r="A268">
        <v>267</v>
      </c>
      <c r="B268">
        <v>22</v>
      </c>
      <c r="C268" t="s">
        <v>14</v>
      </c>
      <c r="D268" t="s">
        <v>18</v>
      </c>
      <c r="E268" t="s">
        <v>19</v>
      </c>
      <c r="F268">
        <v>181</v>
      </c>
      <c r="G268">
        <v>4.0999999999999996</v>
      </c>
      <c r="H268">
        <v>1608</v>
      </c>
      <c r="I268">
        <v>43</v>
      </c>
      <c r="J268">
        <v>752</v>
      </c>
      <c r="K268">
        <v>3</v>
      </c>
      <c r="L268" t="s">
        <v>39</v>
      </c>
      <c r="M268" s="2">
        <f t="shared" si="4"/>
        <v>392.19512195121956</v>
      </c>
      <c r="N2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68" s="1">
        <f>F:F/I:I</f>
        <v>4.2093023255813957</v>
      </c>
    </row>
    <row r="269" spans="1:15" x14ac:dyDescent="0.3">
      <c r="A269">
        <v>268</v>
      </c>
      <c r="B269">
        <v>32</v>
      </c>
      <c r="C269" t="s">
        <v>11</v>
      </c>
      <c r="D269" t="s">
        <v>17</v>
      </c>
      <c r="E269" t="s">
        <v>13</v>
      </c>
      <c r="F269">
        <v>584</v>
      </c>
      <c r="G269">
        <v>9.4</v>
      </c>
      <c r="H269">
        <v>2766</v>
      </c>
      <c r="I269">
        <v>84</v>
      </c>
      <c r="J269">
        <v>2151</v>
      </c>
      <c r="K269">
        <v>5</v>
      </c>
      <c r="L269" t="s">
        <v>40</v>
      </c>
      <c r="M269" s="2">
        <f t="shared" si="4"/>
        <v>294.25531914893617</v>
      </c>
      <c r="N2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69" s="1">
        <f>F:F/I:I</f>
        <v>6.9523809523809526</v>
      </c>
    </row>
    <row r="270" spans="1:15" x14ac:dyDescent="0.3">
      <c r="A270">
        <v>269</v>
      </c>
      <c r="B270">
        <v>55</v>
      </c>
      <c r="C270" t="s">
        <v>11</v>
      </c>
      <c r="D270" t="s">
        <v>16</v>
      </c>
      <c r="E270" t="s">
        <v>13</v>
      </c>
      <c r="F270">
        <v>208</v>
      </c>
      <c r="G270">
        <v>4.7</v>
      </c>
      <c r="H270">
        <v>1642</v>
      </c>
      <c r="I270">
        <v>45</v>
      </c>
      <c r="J270">
        <v>861</v>
      </c>
      <c r="K270">
        <v>3</v>
      </c>
      <c r="L270" t="s">
        <v>37</v>
      </c>
      <c r="M270" s="2">
        <f t="shared" si="4"/>
        <v>349.36170212765956</v>
      </c>
      <c r="N2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270" s="1">
        <f>F:F/I:I</f>
        <v>4.6222222222222218</v>
      </c>
    </row>
    <row r="271" spans="1:15" x14ac:dyDescent="0.3">
      <c r="A271">
        <v>270</v>
      </c>
      <c r="B271">
        <v>20</v>
      </c>
      <c r="C271" t="s">
        <v>11</v>
      </c>
      <c r="D271" t="s">
        <v>16</v>
      </c>
      <c r="E271" t="s">
        <v>13</v>
      </c>
      <c r="F271">
        <v>381</v>
      </c>
      <c r="G271">
        <v>6.6</v>
      </c>
      <c r="H271">
        <v>2160</v>
      </c>
      <c r="I271">
        <v>69</v>
      </c>
      <c r="J271">
        <v>1450</v>
      </c>
      <c r="K271">
        <v>4</v>
      </c>
      <c r="L271" t="s">
        <v>39</v>
      </c>
      <c r="M271" s="2">
        <f t="shared" si="4"/>
        <v>327.27272727272731</v>
      </c>
      <c r="N2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271" s="1">
        <f>F:F/I:I</f>
        <v>5.5217391304347823</v>
      </c>
    </row>
    <row r="272" spans="1:15" x14ac:dyDescent="0.3">
      <c r="A272">
        <v>271</v>
      </c>
      <c r="B272">
        <v>53</v>
      </c>
      <c r="C272" t="s">
        <v>14</v>
      </c>
      <c r="D272" t="s">
        <v>12</v>
      </c>
      <c r="E272" t="s">
        <v>13</v>
      </c>
      <c r="F272">
        <v>426</v>
      </c>
      <c r="G272">
        <v>6.5</v>
      </c>
      <c r="H272">
        <v>1969</v>
      </c>
      <c r="I272">
        <v>78</v>
      </c>
      <c r="J272">
        <v>1266</v>
      </c>
      <c r="K272">
        <v>4</v>
      </c>
      <c r="L272" t="s">
        <v>38</v>
      </c>
      <c r="M272" s="2">
        <f t="shared" si="4"/>
        <v>302.92307692307691</v>
      </c>
      <c r="N2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72" s="1">
        <f>F:F/I:I</f>
        <v>5.4615384615384617</v>
      </c>
    </row>
    <row r="273" spans="1:15" x14ac:dyDescent="0.3">
      <c r="A273">
        <v>272</v>
      </c>
      <c r="B273">
        <v>51</v>
      </c>
      <c r="C273" t="s">
        <v>11</v>
      </c>
      <c r="D273" t="s">
        <v>17</v>
      </c>
      <c r="E273" t="s">
        <v>13</v>
      </c>
      <c r="F273">
        <v>284</v>
      </c>
      <c r="G273">
        <v>4.2</v>
      </c>
      <c r="H273">
        <v>1360</v>
      </c>
      <c r="I273">
        <v>56</v>
      </c>
      <c r="J273">
        <v>888</v>
      </c>
      <c r="K273">
        <v>3</v>
      </c>
      <c r="L273" t="s">
        <v>38</v>
      </c>
      <c r="M273" s="2">
        <f t="shared" si="4"/>
        <v>323.8095238095238</v>
      </c>
      <c r="N2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73" s="1">
        <f>F:F/I:I</f>
        <v>5.0714285714285712</v>
      </c>
    </row>
    <row r="274" spans="1:15" x14ac:dyDescent="0.3">
      <c r="A274">
        <v>273</v>
      </c>
      <c r="B274">
        <v>31</v>
      </c>
      <c r="C274" t="s">
        <v>14</v>
      </c>
      <c r="D274" t="s">
        <v>15</v>
      </c>
      <c r="E274" t="s">
        <v>13</v>
      </c>
      <c r="F274">
        <v>105</v>
      </c>
      <c r="G274">
        <v>2.2000000000000002</v>
      </c>
      <c r="H274">
        <v>1002</v>
      </c>
      <c r="I274">
        <v>29</v>
      </c>
      <c r="J274">
        <v>453</v>
      </c>
      <c r="K274">
        <v>2</v>
      </c>
      <c r="L274" t="s">
        <v>40</v>
      </c>
      <c r="M274" s="2">
        <f t="shared" si="4"/>
        <v>455.45454545454544</v>
      </c>
      <c r="N2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74" s="1">
        <f>F:F/I:I</f>
        <v>3.6206896551724137</v>
      </c>
    </row>
    <row r="275" spans="1:15" x14ac:dyDescent="0.3">
      <c r="A275">
        <v>274</v>
      </c>
      <c r="B275">
        <v>38</v>
      </c>
      <c r="C275" t="s">
        <v>11</v>
      </c>
      <c r="D275" t="s">
        <v>15</v>
      </c>
      <c r="E275" t="s">
        <v>13</v>
      </c>
      <c r="F275">
        <v>179</v>
      </c>
      <c r="G275">
        <v>2.2999999999999998</v>
      </c>
      <c r="H275">
        <v>1014</v>
      </c>
      <c r="I275">
        <v>32</v>
      </c>
      <c r="J275">
        <v>588</v>
      </c>
      <c r="K275">
        <v>2</v>
      </c>
      <c r="L275" t="s">
        <v>35</v>
      </c>
      <c r="M275" s="2">
        <f t="shared" si="4"/>
        <v>440.86956521739131</v>
      </c>
      <c r="N2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75" s="1">
        <f>F:F/I:I</f>
        <v>5.59375</v>
      </c>
    </row>
    <row r="276" spans="1:15" x14ac:dyDescent="0.3">
      <c r="A276">
        <v>275</v>
      </c>
      <c r="B276">
        <v>35</v>
      </c>
      <c r="C276" t="s">
        <v>11</v>
      </c>
      <c r="D276" t="s">
        <v>18</v>
      </c>
      <c r="E276" t="s">
        <v>19</v>
      </c>
      <c r="F276">
        <v>122</v>
      </c>
      <c r="G276">
        <v>2.6</v>
      </c>
      <c r="H276">
        <v>639</v>
      </c>
      <c r="I276">
        <v>37</v>
      </c>
      <c r="J276">
        <v>568</v>
      </c>
      <c r="K276">
        <v>2</v>
      </c>
      <c r="L276" t="s">
        <v>35</v>
      </c>
      <c r="M276" s="2">
        <f t="shared" si="4"/>
        <v>245.76923076923077</v>
      </c>
      <c r="N2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76" s="1">
        <f>F:F/I:I</f>
        <v>3.2972972972972974</v>
      </c>
    </row>
    <row r="277" spans="1:15" x14ac:dyDescent="0.3">
      <c r="A277">
        <v>276</v>
      </c>
      <c r="B277">
        <v>49</v>
      </c>
      <c r="C277" t="s">
        <v>11</v>
      </c>
      <c r="D277" t="s">
        <v>17</v>
      </c>
      <c r="E277" t="s">
        <v>13</v>
      </c>
      <c r="F277">
        <v>501</v>
      </c>
      <c r="G277">
        <v>11.9</v>
      </c>
      <c r="H277">
        <v>2702</v>
      </c>
      <c r="I277">
        <v>88</v>
      </c>
      <c r="J277">
        <v>1738</v>
      </c>
      <c r="K277">
        <v>5</v>
      </c>
      <c r="L277" t="s">
        <v>41</v>
      </c>
      <c r="M277" s="2">
        <f t="shared" si="4"/>
        <v>227.05882352941177</v>
      </c>
      <c r="N2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77" s="1">
        <f>F:F/I:I</f>
        <v>5.6931818181818183</v>
      </c>
    </row>
    <row r="278" spans="1:15" x14ac:dyDescent="0.3">
      <c r="A278">
        <v>277</v>
      </c>
      <c r="B278">
        <v>32</v>
      </c>
      <c r="C278" t="s">
        <v>14</v>
      </c>
      <c r="D278" t="s">
        <v>12</v>
      </c>
      <c r="E278" t="s">
        <v>13</v>
      </c>
      <c r="F278">
        <v>269</v>
      </c>
      <c r="G278">
        <v>5.9</v>
      </c>
      <c r="H278">
        <v>1666</v>
      </c>
      <c r="I278">
        <v>42</v>
      </c>
      <c r="J278">
        <v>629</v>
      </c>
      <c r="K278">
        <v>3</v>
      </c>
      <c r="L278" t="s">
        <v>40</v>
      </c>
      <c r="M278" s="2">
        <f t="shared" si="4"/>
        <v>282.37288135593218</v>
      </c>
      <c r="N2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78" s="1">
        <f>F:F/I:I</f>
        <v>6.4047619047619051</v>
      </c>
    </row>
    <row r="279" spans="1:15" x14ac:dyDescent="0.3">
      <c r="A279">
        <v>278</v>
      </c>
      <c r="B279">
        <v>54</v>
      </c>
      <c r="C279" t="s">
        <v>11</v>
      </c>
      <c r="D279" t="s">
        <v>15</v>
      </c>
      <c r="E279" t="s">
        <v>13</v>
      </c>
      <c r="F279">
        <v>230</v>
      </c>
      <c r="G279">
        <v>4.4000000000000004</v>
      </c>
      <c r="H279">
        <v>1607</v>
      </c>
      <c r="I279">
        <v>52</v>
      </c>
      <c r="J279">
        <v>878</v>
      </c>
      <c r="K279">
        <v>3</v>
      </c>
      <c r="L279" t="s">
        <v>38</v>
      </c>
      <c r="M279" s="2">
        <f t="shared" si="4"/>
        <v>365.22727272727269</v>
      </c>
      <c r="N2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79" s="1">
        <f>F:F/I:I</f>
        <v>4.4230769230769234</v>
      </c>
    </row>
    <row r="280" spans="1:15" x14ac:dyDescent="0.3">
      <c r="A280">
        <v>279</v>
      </c>
      <c r="B280">
        <v>47</v>
      </c>
      <c r="C280" t="s">
        <v>11</v>
      </c>
      <c r="D280" t="s">
        <v>12</v>
      </c>
      <c r="E280" t="s">
        <v>13</v>
      </c>
      <c r="F280">
        <v>85</v>
      </c>
      <c r="G280">
        <v>1.6</v>
      </c>
      <c r="H280">
        <v>417</v>
      </c>
      <c r="I280">
        <v>12</v>
      </c>
      <c r="J280">
        <v>122</v>
      </c>
      <c r="K280">
        <v>1</v>
      </c>
      <c r="L280" t="s">
        <v>41</v>
      </c>
      <c r="M280" s="2">
        <f t="shared" si="4"/>
        <v>260.625</v>
      </c>
      <c r="N2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80" s="1">
        <f>F:F/I:I</f>
        <v>7.083333333333333</v>
      </c>
    </row>
    <row r="281" spans="1:15" x14ac:dyDescent="0.3">
      <c r="A281">
        <v>280</v>
      </c>
      <c r="B281">
        <v>33</v>
      </c>
      <c r="C281" t="s">
        <v>14</v>
      </c>
      <c r="D281" t="s">
        <v>16</v>
      </c>
      <c r="E281" t="s">
        <v>13</v>
      </c>
      <c r="F281">
        <v>411</v>
      </c>
      <c r="G281">
        <v>7.8</v>
      </c>
      <c r="H281">
        <v>2029</v>
      </c>
      <c r="I281">
        <v>75</v>
      </c>
      <c r="J281">
        <v>1136</v>
      </c>
      <c r="K281">
        <v>4</v>
      </c>
      <c r="L281" t="s">
        <v>40</v>
      </c>
      <c r="M281" s="2">
        <f t="shared" si="4"/>
        <v>260.12820512820514</v>
      </c>
      <c r="N2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81" s="1">
        <f>F:F/I:I</f>
        <v>5.48</v>
      </c>
    </row>
    <row r="282" spans="1:15" x14ac:dyDescent="0.3">
      <c r="A282">
        <v>281</v>
      </c>
      <c r="B282">
        <v>51</v>
      </c>
      <c r="C282" t="s">
        <v>11</v>
      </c>
      <c r="D282" t="s">
        <v>16</v>
      </c>
      <c r="E282" t="s">
        <v>13</v>
      </c>
      <c r="F282">
        <v>73</v>
      </c>
      <c r="G282">
        <v>1.7</v>
      </c>
      <c r="H282">
        <v>403</v>
      </c>
      <c r="I282">
        <v>12</v>
      </c>
      <c r="J282">
        <v>163</v>
      </c>
      <c r="K282">
        <v>1</v>
      </c>
      <c r="L282" t="s">
        <v>38</v>
      </c>
      <c r="M282" s="2">
        <f t="shared" si="4"/>
        <v>237.05882352941177</v>
      </c>
      <c r="N2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82" s="1">
        <f>F:F/I:I</f>
        <v>6.083333333333333</v>
      </c>
    </row>
    <row r="283" spans="1:15" x14ac:dyDescent="0.3">
      <c r="A283">
        <v>282</v>
      </c>
      <c r="B283">
        <v>26</v>
      </c>
      <c r="C283" t="s">
        <v>14</v>
      </c>
      <c r="D283" t="s">
        <v>12</v>
      </c>
      <c r="E283" t="s">
        <v>13</v>
      </c>
      <c r="F283">
        <v>39</v>
      </c>
      <c r="G283">
        <v>1.7</v>
      </c>
      <c r="H283">
        <v>530</v>
      </c>
      <c r="I283">
        <v>11</v>
      </c>
      <c r="J283">
        <v>268</v>
      </c>
      <c r="K283">
        <v>1</v>
      </c>
      <c r="L283" t="s">
        <v>36</v>
      </c>
      <c r="M283" s="2">
        <f t="shared" si="4"/>
        <v>311.76470588235293</v>
      </c>
      <c r="N2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83" s="1">
        <f>F:F/I:I</f>
        <v>3.5454545454545454</v>
      </c>
    </row>
    <row r="284" spans="1:15" x14ac:dyDescent="0.3">
      <c r="A284">
        <v>283</v>
      </c>
      <c r="B284">
        <v>51</v>
      </c>
      <c r="C284" t="s">
        <v>11</v>
      </c>
      <c r="D284" t="s">
        <v>18</v>
      </c>
      <c r="E284" t="s">
        <v>19</v>
      </c>
      <c r="F284">
        <v>386</v>
      </c>
      <c r="G284">
        <v>7.7</v>
      </c>
      <c r="H284">
        <v>2114</v>
      </c>
      <c r="I284">
        <v>72</v>
      </c>
      <c r="J284">
        <v>1209</v>
      </c>
      <c r="K284">
        <v>4</v>
      </c>
      <c r="L284" t="s">
        <v>38</v>
      </c>
      <c r="M284" s="2">
        <f t="shared" si="4"/>
        <v>274.54545454545456</v>
      </c>
      <c r="N2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84" s="1">
        <f>F:F/I:I</f>
        <v>5.3611111111111107</v>
      </c>
    </row>
    <row r="285" spans="1:15" x14ac:dyDescent="0.3">
      <c r="A285">
        <v>284</v>
      </c>
      <c r="B285">
        <v>54</v>
      </c>
      <c r="C285" t="s">
        <v>14</v>
      </c>
      <c r="D285" t="s">
        <v>15</v>
      </c>
      <c r="E285" t="s">
        <v>13</v>
      </c>
      <c r="F285">
        <v>49</v>
      </c>
      <c r="G285">
        <v>1.3</v>
      </c>
      <c r="H285">
        <v>542</v>
      </c>
      <c r="I285">
        <v>16</v>
      </c>
      <c r="J285">
        <v>169</v>
      </c>
      <c r="K285">
        <v>1</v>
      </c>
      <c r="L285" t="s">
        <v>38</v>
      </c>
      <c r="M285" s="2">
        <f t="shared" si="4"/>
        <v>416.92307692307691</v>
      </c>
      <c r="N2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85" s="1">
        <f>F:F/I:I</f>
        <v>3.0625</v>
      </c>
    </row>
    <row r="286" spans="1:15" x14ac:dyDescent="0.3">
      <c r="A286">
        <v>285</v>
      </c>
      <c r="B286">
        <v>43</v>
      </c>
      <c r="C286" t="s">
        <v>11</v>
      </c>
      <c r="D286" t="s">
        <v>15</v>
      </c>
      <c r="E286" t="s">
        <v>13</v>
      </c>
      <c r="F286">
        <v>411</v>
      </c>
      <c r="G286">
        <v>6.9</v>
      </c>
      <c r="H286">
        <v>1820</v>
      </c>
      <c r="I286">
        <v>70</v>
      </c>
      <c r="J286">
        <v>1024</v>
      </c>
      <c r="K286">
        <v>4</v>
      </c>
      <c r="L286" t="s">
        <v>34</v>
      </c>
      <c r="M286" s="2">
        <f t="shared" si="4"/>
        <v>263.768115942029</v>
      </c>
      <c r="N2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86" s="1">
        <f>F:F/I:I</f>
        <v>5.871428571428571</v>
      </c>
    </row>
    <row r="287" spans="1:15" x14ac:dyDescent="0.3">
      <c r="A287">
        <v>286</v>
      </c>
      <c r="B287">
        <v>37</v>
      </c>
      <c r="C287" t="s">
        <v>11</v>
      </c>
      <c r="D287" t="s">
        <v>17</v>
      </c>
      <c r="E287" t="s">
        <v>13</v>
      </c>
      <c r="F287">
        <v>534</v>
      </c>
      <c r="G287">
        <v>10.8</v>
      </c>
      <c r="H287">
        <v>2805</v>
      </c>
      <c r="I287">
        <v>90</v>
      </c>
      <c r="J287">
        <v>1538</v>
      </c>
      <c r="K287">
        <v>5</v>
      </c>
      <c r="L287" t="s">
        <v>35</v>
      </c>
      <c r="M287" s="2">
        <f t="shared" si="4"/>
        <v>259.72222222222223</v>
      </c>
      <c r="N2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87" s="1">
        <f>F:F/I:I</f>
        <v>5.9333333333333336</v>
      </c>
    </row>
    <row r="288" spans="1:15" x14ac:dyDescent="0.3">
      <c r="A288">
        <v>287</v>
      </c>
      <c r="B288">
        <v>47</v>
      </c>
      <c r="C288" t="s">
        <v>14</v>
      </c>
      <c r="D288" t="s">
        <v>16</v>
      </c>
      <c r="E288" t="s">
        <v>13</v>
      </c>
      <c r="F288">
        <v>314</v>
      </c>
      <c r="G288">
        <v>7.4</v>
      </c>
      <c r="H288">
        <v>2136</v>
      </c>
      <c r="I288">
        <v>64</v>
      </c>
      <c r="J288">
        <v>1376</v>
      </c>
      <c r="K288">
        <v>4</v>
      </c>
      <c r="L288" t="s">
        <v>41</v>
      </c>
      <c r="M288" s="2">
        <f t="shared" si="4"/>
        <v>288.64864864864865</v>
      </c>
      <c r="N2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88" s="1">
        <f>F:F/I:I</f>
        <v>4.90625</v>
      </c>
    </row>
    <row r="289" spans="1:15" x14ac:dyDescent="0.3">
      <c r="A289">
        <v>288</v>
      </c>
      <c r="B289">
        <v>29</v>
      </c>
      <c r="C289" t="s">
        <v>14</v>
      </c>
      <c r="D289" t="s">
        <v>12</v>
      </c>
      <c r="E289" t="s">
        <v>13</v>
      </c>
      <c r="F289">
        <v>211</v>
      </c>
      <c r="G289">
        <v>4</v>
      </c>
      <c r="H289">
        <v>1519</v>
      </c>
      <c r="I289">
        <v>54</v>
      </c>
      <c r="J289">
        <v>811</v>
      </c>
      <c r="K289">
        <v>3</v>
      </c>
      <c r="L289" t="s">
        <v>36</v>
      </c>
      <c r="M289" s="2">
        <f t="shared" si="4"/>
        <v>379.75</v>
      </c>
      <c r="N2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89" s="1">
        <f>F:F/I:I</f>
        <v>3.9074074074074074</v>
      </c>
    </row>
    <row r="290" spans="1:15" x14ac:dyDescent="0.3">
      <c r="A290">
        <v>289</v>
      </c>
      <c r="B290">
        <v>47</v>
      </c>
      <c r="C290" t="s">
        <v>11</v>
      </c>
      <c r="D290" t="s">
        <v>17</v>
      </c>
      <c r="E290" t="s">
        <v>13</v>
      </c>
      <c r="F290">
        <v>121</v>
      </c>
      <c r="G290">
        <v>3.7</v>
      </c>
      <c r="H290">
        <v>619</v>
      </c>
      <c r="I290">
        <v>36</v>
      </c>
      <c r="J290">
        <v>473</v>
      </c>
      <c r="K290">
        <v>2</v>
      </c>
      <c r="L290" t="s">
        <v>41</v>
      </c>
      <c r="M290" s="2">
        <f t="shared" si="4"/>
        <v>167.29729729729729</v>
      </c>
      <c r="N2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290" s="1">
        <f>F:F/I:I</f>
        <v>3.3611111111111112</v>
      </c>
    </row>
    <row r="291" spans="1:15" x14ac:dyDescent="0.3">
      <c r="A291">
        <v>290</v>
      </c>
      <c r="B291">
        <v>50</v>
      </c>
      <c r="C291" t="s">
        <v>11</v>
      </c>
      <c r="D291" t="s">
        <v>15</v>
      </c>
      <c r="E291" t="s">
        <v>13</v>
      </c>
      <c r="F291">
        <v>84</v>
      </c>
      <c r="G291">
        <v>1.2</v>
      </c>
      <c r="H291">
        <v>415</v>
      </c>
      <c r="I291">
        <v>10</v>
      </c>
      <c r="J291">
        <v>146</v>
      </c>
      <c r="K291">
        <v>1</v>
      </c>
      <c r="L291" t="s">
        <v>38</v>
      </c>
      <c r="M291" s="2">
        <f t="shared" si="4"/>
        <v>345.83333333333337</v>
      </c>
      <c r="N2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91" s="1">
        <f>F:F/I:I</f>
        <v>8.4</v>
      </c>
    </row>
    <row r="292" spans="1:15" x14ac:dyDescent="0.3">
      <c r="A292">
        <v>291</v>
      </c>
      <c r="B292">
        <v>28</v>
      </c>
      <c r="C292" t="s">
        <v>11</v>
      </c>
      <c r="D292" t="s">
        <v>17</v>
      </c>
      <c r="E292" t="s">
        <v>13</v>
      </c>
      <c r="F292">
        <v>448</v>
      </c>
      <c r="G292">
        <v>7.6</v>
      </c>
      <c r="H292">
        <v>2199</v>
      </c>
      <c r="I292">
        <v>66</v>
      </c>
      <c r="J292">
        <v>1047</v>
      </c>
      <c r="K292">
        <v>4</v>
      </c>
      <c r="L292" t="s">
        <v>36</v>
      </c>
      <c r="M292" s="2">
        <f t="shared" si="4"/>
        <v>289.34210526315792</v>
      </c>
      <c r="N2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92" s="1">
        <f>F:F/I:I</f>
        <v>6.7878787878787881</v>
      </c>
    </row>
    <row r="293" spans="1:15" x14ac:dyDescent="0.3">
      <c r="A293">
        <v>292</v>
      </c>
      <c r="B293">
        <v>30</v>
      </c>
      <c r="C293" t="s">
        <v>11</v>
      </c>
      <c r="D293" t="s">
        <v>15</v>
      </c>
      <c r="E293" t="s">
        <v>13</v>
      </c>
      <c r="F293">
        <v>55</v>
      </c>
      <c r="G293">
        <v>1.6</v>
      </c>
      <c r="H293">
        <v>360</v>
      </c>
      <c r="I293">
        <v>19</v>
      </c>
      <c r="J293">
        <v>149</v>
      </c>
      <c r="K293">
        <v>1</v>
      </c>
      <c r="L293" t="s">
        <v>40</v>
      </c>
      <c r="M293" s="2">
        <f t="shared" si="4"/>
        <v>225</v>
      </c>
      <c r="N2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93" s="1">
        <f>F:F/I:I</f>
        <v>2.8947368421052633</v>
      </c>
    </row>
    <row r="294" spans="1:15" x14ac:dyDescent="0.3">
      <c r="A294">
        <v>293</v>
      </c>
      <c r="B294">
        <v>36</v>
      </c>
      <c r="C294" t="s">
        <v>14</v>
      </c>
      <c r="D294" t="s">
        <v>15</v>
      </c>
      <c r="E294" t="s">
        <v>13</v>
      </c>
      <c r="F294">
        <v>59</v>
      </c>
      <c r="G294">
        <v>1.8</v>
      </c>
      <c r="H294">
        <v>497</v>
      </c>
      <c r="I294">
        <v>10</v>
      </c>
      <c r="J294">
        <v>208</v>
      </c>
      <c r="K294">
        <v>1</v>
      </c>
      <c r="L294" t="s">
        <v>35</v>
      </c>
      <c r="M294" s="2">
        <f t="shared" si="4"/>
        <v>276.11111111111109</v>
      </c>
      <c r="N2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294" s="1">
        <f>F:F/I:I</f>
        <v>5.9</v>
      </c>
    </row>
    <row r="295" spans="1:15" x14ac:dyDescent="0.3">
      <c r="A295">
        <v>294</v>
      </c>
      <c r="B295">
        <v>27</v>
      </c>
      <c r="C295" t="s">
        <v>14</v>
      </c>
      <c r="D295" t="s">
        <v>12</v>
      </c>
      <c r="E295" t="s">
        <v>13</v>
      </c>
      <c r="F295">
        <v>226</v>
      </c>
      <c r="G295">
        <v>4.5</v>
      </c>
      <c r="H295">
        <v>1781</v>
      </c>
      <c r="I295">
        <v>45</v>
      </c>
      <c r="J295">
        <v>649</v>
      </c>
      <c r="K295">
        <v>3</v>
      </c>
      <c r="L295" t="s">
        <v>36</v>
      </c>
      <c r="M295" s="2">
        <f t="shared" si="4"/>
        <v>395.77777777777777</v>
      </c>
      <c r="N2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295" s="1">
        <f>F:F/I:I</f>
        <v>5.0222222222222221</v>
      </c>
    </row>
    <row r="296" spans="1:15" x14ac:dyDescent="0.3">
      <c r="A296">
        <v>295</v>
      </c>
      <c r="B296">
        <v>52</v>
      </c>
      <c r="C296" t="s">
        <v>11</v>
      </c>
      <c r="D296" t="s">
        <v>16</v>
      </c>
      <c r="E296" t="s">
        <v>13</v>
      </c>
      <c r="F296">
        <v>580</v>
      </c>
      <c r="G296">
        <v>8.5</v>
      </c>
      <c r="H296">
        <v>2660</v>
      </c>
      <c r="I296">
        <v>87</v>
      </c>
      <c r="J296">
        <v>1795</v>
      </c>
      <c r="K296">
        <v>5</v>
      </c>
      <c r="L296" t="s">
        <v>38</v>
      </c>
      <c r="M296" s="2">
        <f t="shared" si="4"/>
        <v>312.94117647058823</v>
      </c>
      <c r="N2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96" s="1">
        <f>F:F/I:I</f>
        <v>6.666666666666667</v>
      </c>
    </row>
    <row r="297" spans="1:15" x14ac:dyDescent="0.3">
      <c r="A297">
        <v>296</v>
      </c>
      <c r="B297">
        <v>41</v>
      </c>
      <c r="C297" t="s">
        <v>11</v>
      </c>
      <c r="D297" t="s">
        <v>17</v>
      </c>
      <c r="E297" t="s">
        <v>13</v>
      </c>
      <c r="F297">
        <v>65</v>
      </c>
      <c r="G297">
        <v>1.8</v>
      </c>
      <c r="H297">
        <v>481</v>
      </c>
      <c r="I297">
        <v>18</v>
      </c>
      <c r="J297">
        <v>130</v>
      </c>
      <c r="K297">
        <v>1</v>
      </c>
      <c r="L297" t="s">
        <v>34</v>
      </c>
      <c r="M297" s="2">
        <f t="shared" si="4"/>
        <v>267.22222222222223</v>
      </c>
      <c r="N2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297" s="1">
        <f>F:F/I:I</f>
        <v>3.6111111111111112</v>
      </c>
    </row>
    <row r="298" spans="1:15" x14ac:dyDescent="0.3">
      <c r="A298">
        <v>297</v>
      </c>
      <c r="B298">
        <v>31</v>
      </c>
      <c r="C298" t="s">
        <v>14</v>
      </c>
      <c r="D298" t="s">
        <v>17</v>
      </c>
      <c r="E298" t="s">
        <v>13</v>
      </c>
      <c r="F298">
        <v>458</v>
      </c>
      <c r="G298">
        <v>6.6</v>
      </c>
      <c r="H298">
        <v>2214</v>
      </c>
      <c r="I298">
        <v>67</v>
      </c>
      <c r="J298">
        <v>1163</v>
      </c>
      <c r="K298">
        <v>4</v>
      </c>
      <c r="L298" t="s">
        <v>40</v>
      </c>
      <c r="M298" s="2">
        <f t="shared" si="4"/>
        <v>335.4545454545455</v>
      </c>
      <c r="N2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298" s="1">
        <f>F:F/I:I</f>
        <v>6.8358208955223878</v>
      </c>
    </row>
    <row r="299" spans="1:15" x14ac:dyDescent="0.3">
      <c r="A299">
        <v>298</v>
      </c>
      <c r="B299">
        <v>53</v>
      </c>
      <c r="C299" t="s">
        <v>14</v>
      </c>
      <c r="D299" t="s">
        <v>18</v>
      </c>
      <c r="E299" t="s">
        <v>19</v>
      </c>
      <c r="F299">
        <v>170</v>
      </c>
      <c r="G299">
        <v>2.7</v>
      </c>
      <c r="H299">
        <v>805</v>
      </c>
      <c r="I299">
        <v>26</v>
      </c>
      <c r="J299">
        <v>344</v>
      </c>
      <c r="K299">
        <v>2</v>
      </c>
      <c r="L299" t="s">
        <v>38</v>
      </c>
      <c r="M299" s="2">
        <f t="shared" si="4"/>
        <v>298.14814814814815</v>
      </c>
      <c r="N2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299" s="1">
        <f>F:F/I:I</f>
        <v>6.5384615384615383</v>
      </c>
    </row>
    <row r="300" spans="1:15" x14ac:dyDescent="0.3">
      <c r="A300">
        <v>299</v>
      </c>
      <c r="B300">
        <v>44</v>
      </c>
      <c r="C300" t="s">
        <v>11</v>
      </c>
      <c r="D300" t="s">
        <v>18</v>
      </c>
      <c r="E300" t="s">
        <v>19</v>
      </c>
      <c r="F300">
        <v>264</v>
      </c>
      <c r="G300">
        <v>5.2</v>
      </c>
      <c r="H300">
        <v>1641</v>
      </c>
      <c r="I300">
        <v>44</v>
      </c>
      <c r="J300">
        <v>778</v>
      </c>
      <c r="K300">
        <v>3</v>
      </c>
      <c r="L300" t="s">
        <v>34</v>
      </c>
      <c r="M300" s="2">
        <f t="shared" si="4"/>
        <v>315.57692307692309</v>
      </c>
      <c r="N3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00" s="1">
        <f>F:F/I:I</f>
        <v>6</v>
      </c>
    </row>
    <row r="301" spans="1:15" x14ac:dyDescent="0.3">
      <c r="A301">
        <v>300</v>
      </c>
      <c r="B301">
        <v>59</v>
      </c>
      <c r="C301" t="s">
        <v>14</v>
      </c>
      <c r="D301" t="s">
        <v>12</v>
      </c>
      <c r="E301" t="s">
        <v>13</v>
      </c>
      <c r="F301">
        <v>122</v>
      </c>
      <c r="G301">
        <v>3.3</v>
      </c>
      <c r="H301">
        <v>748</v>
      </c>
      <c r="I301">
        <v>35</v>
      </c>
      <c r="J301">
        <v>499</v>
      </c>
      <c r="K301">
        <v>2</v>
      </c>
      <c r="L301" t="s">
        <v>37</v>
      </c>
      <c r="M301" s="2">
        <f t="shared" si="4"/>
        <v>226.66666666666669</v>
      </c>
      <c r="N3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01" s="1">
        <f>F:F/I:I</f>
        <v>3.4857142857142858</v>
      </c>
    </row>
    <row r="302" spans="1:15" x14ac:dyDescent="0.3">
      <c r="A302">
        <v>301</v>
      </c>
      <c r="B302">
        <v>35</v>
      </c>
      <c r="C302" t="s">
        <v>11</v>
      </c>
      <c r="D302" t="s">
        <v>12</v>
      </c>
      <c r="E302" t="s">
        <v>13</v>
      </c>
      <c r="F302">
        <v>420</v>
      </c>
      <c r="G302">
        <v>6.5</v>
      </c>
      <c r="H302">
        <v>2113</v>
      </c>
      <c r="I302">
        <v>65</v>
      </c>
      <c r="J302">
        <v>1314</v>
      </c>
      <c r="K302">
        <v>4</v>
      </c>
      <c r="L302" t="s">
        <v>35</v>
      </c>
      <c r="M302" s="2">
        <f t="shared" si="4"/>
        <v>325.07692307692309</v>
      </c>
      <c r="N3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02" s="1">
        <f>F:F/I:I</f>
        <v>6.4615384615384617</v>
      </c>
    </row>
    <row r="303" spans="1:15" x14ac:dyDescent="0.3">
      <c r="A303">
        <v>302</v>
      </c>
      <c r="B303">
        <v>38</v>
      </c>
      <c r="C303" t="s">
        <v>14</v>
      </c>
      <c r="D303" t="s">
        <v>18</v>
      </c>
      <c r="E303" t="s">
        <v>19</v>
      </c>
      <c r="F303">
        <v>267</v>
      </c>
      <c r="G303">
        <v>4.4000000000000004</v>
      </c>
      <c r="H303">
        <v>1505</v>
      </c>
      <c r="I303">
        <v>59</v>
      </c>
      <c r="J303">
        <v>971</v>
      </c>
      <c r="K303">
        <v>3</v>
      </c>
      <c r="L303" t="s">
        <v>35</v>
      </c>
      <c r="M303" s="2">
        <f t="shared" si="4"/>
        <v>342.0454545454545</v>
      </c>
      <c r="N3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03" s="1">
        <f>F:F/I:I</f>
        <v>4.5254237288135597</v>
      </c>
    </row>
    <row r="304" spans="1:15" x14ac:dyDescent="0.3">
      <c r="A304">
        <v>303</v>
      </c>
      <c r="B304">
        <v>34</v>
      </c>
      <c r="C304" t="s">
        <v>14</v>
      </c>
      <c r="D304" t="s">
        <v>18</v>
      </c>
      <c r="E304" t="s">
        <v>19</v>
      </c>
      <c r="F304">
        <v>469</v>
      </c>
      <c r="G304">
        <v>6</v>
      </c>
      <c r="H304">
        <v>2290</v>
      </c>
      <c r="I304">
        <v>67</v>
      </c>
      <c r="J304">
        <v>1086</v>
      </c>
      <c r="K304">
        <v>4</v>
      </c>
      <c r="L304" t="s">
        <v>40</v>
      </c>
      <c r="M304" s="2">
        <f t="shared" si="4"/>
        <v>381.66666666666669</v>
      </c>
      <c r="N3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04" s="1">
        <f>F:F/I:I</f>
        <v>7</v>
      </c>
    </row>
    <row r="305" spans="1:15" x14ac:dyDescent="0.3">
      <c r="A305">
        <v>304</v>
      </c>
      <c r="B305">
        <v>34</v>
      </c>
      <c r="C305" t="s">
        <v>14</v>
      </c>
      <c r="D305" t="s">
        <v>18</v>
      </c>
      <c r="E305" t="s">
        <v>19</v>
      </c>
      <c r="F305">
        <v>541</v>
      </c>
      <c r="G305">
        <v>11.4</v>
      </c>
      <c r="H305">
        <v>2443</v>
      </c>
      <c r="I305">
        <v>89</v>
      </c>
      <c r="J305">
        <v>1923</v>
      </c>
      <c r="K305">
        <v>5</v>
      </c>
      <c r="L305" t="s">
        <v>40</v>
      </c>
      <c r="M305" s="2">
        <f t="shared" si="4"/>
        <v>214.29824561403507</v>
      </c>
      <c r="N3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05" s="1">
        <f>F:F/I:I</f>
        <v>6.0786516853932584</v>
      </c>
    </row>
    <row r="306" spans="1:15" x14ac:dyDescent="0.3">
      <c r="A306">
        <v>305</v>
      </c>
      <c r="B306">
        <v>19</v>
      </c>
      <c r="C306" t="s">
        <v>14</v>
      </c>
      <c r="D306" t="s">
        <v>18</v>
      </c>
      <c r="E306" t="s">
        <v>19</v>
      </c>
      <c r="F306">
        <v>155</v>
      </c>
      <c r="G306">
        <v>2.9</v>
      </c>
      <c r="H306">
        <v>1117</v>
      </c>
      <c r="I306">
        <v>22</v>
      </c>
      <c r="J306">
        <v>322</v>
      </c>
      <c r="K306">
        <v>2</v>
      </c>
      <c r="L306" t="s">
        <v>42</v>
      </c>
      <c r="M306" s="2">
        <f t="shared" si="4"/>
        <v>385.17241379310349</v>
      </c>
      <c r="N3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306" s="1">
        <f>F:F/I:I</f>
        <v>7.0454545454545459</v>
      </c>
    </row>
    <row r="307" spans="1:15" x14ac:dyDescent="0.3">
      <c r="A307">
        <v>306</v>
      </c>
      <c r="B307">
        <v>27</v>
      </c>
      <c r="C307" t="s">
        <v>11</v>
      </c>
      <c r="D307" t="s">
        <v>17</v>
      </c>
      <c r="E307" t="s">
        <v>13</v>
      </c>
      <c r="F307">
        <v>106</v>
      </c>
      <c r="G307">
        <v>2.8</v>
      </c>
      <c r="H307">
        <v>686</v>
      </c>
      <c r="I307">
        <v>32</v>
      </c>
      <c r="J307">
        <v>594</v>
      </c>
      <c r="K307">
        <v>2</v>
      </c>
      <c r="L307" t="s">
        <v>36</v>
      </c>
      <c r="M307" s="2">
        <f t="shared" si="4"/>
        <v>245.00000000000003</v>
      </c>
      <c r="N3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07" s="1">
        <f>F:F/I:I</f>
        <v>3.3125</v>
      </c>
    </row>
    <row r="308" spans="1:15" x14ac:dyDescent="0.3">
      <c r="A308">
        <v>307</v>
      </c>
      <c r="B308">
        <v>43</v>
      </c>
      <c r="C308" t="s">
        <v>11</v>
      </c>
      <c r="D308" t="s">
        <v>17</v>
      </c>
      <c r="E308" t="s">
        <v>13</v>
      </c>
      <c r="F308">
        <v>243</v>
      </c>
      <c r="G308">
        <v>5</v>
      </c>
      <c r="H308">
        <v>1232</v>
      </c>
      <c r="I308">
        <v>47</v>
      </c>
      <c r="J308">
        <v>877</v>
      </c>
      <c r="K308">
        <v>3</v>
      </c>
      <c r="L308" t="s">
        <v>34</v>
      </c>
      <c r="M308" s="2">
        <f t="shared" si="4"/>
        <v>246.4</v>
      </c>
      <c r="N3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08" s="1">
        <f>F:F/I:I</f>
        <v>5.1702127659574471</v>
      </c>
    </row>
    <row r="309" spans="1:15" x14ac:dyDescent="0.3">
      <c r="A309">
        <v>308</v>
      </c>
      <c r="B309">
        <v>45</v>
      </c>
      <c r="C309" t="s">
        <v>14</v>
      </c>
      <c r="D309" t="s">
        <v>17</v>
      </c>
      <c r="E309" t="s">
        <v>13</v>
      </c>
      <c r="F309">
        <v>410</v>
      </c>
      <c r="G309">
        <v>7.5</v>
      </c>
      <c r="H309">
        <v>2176</v>
      </c>
      <c r="I309">
        <v>68</v>
      </c>
      <c r="J309">
        <v>1213</v>
      </c>
      <c r="K309">
        <v>4</v>
      </c>
      <c r="L309" t="s">
        <v>41</v>
      </c>
      <c r="M309" s="2">
        <f t="shared" si="4"/>
        <v>290.13333333333333</v>
      </c>
      <c r="N3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09" s="1">
        <f>F:F/I:I</f>
        <v>6.0294117647058822</v>
      </c>
    </row>
    <row r="310" spans="1:15" x14ac:dyDescent="0.3">
      <c r="A310">
        <v>309</v>
      </c>
      <c r="B310">
        <v>20</v>
      </c>
      <c r="C310" t="s">
        <v>14</v>
      </c>
      <c r="D310" t="s">
        <v>18</v>
      </c>
      <c r="E310" t="s">
        <v>19</v>
      </c>
      <c r="F310">
        <v>285</v>
      </c>
      <c r="G310">
        <v>5.0999999999999996</v>
      </c>
      <c r="H310">
        <v>1226</v>
      </c>
      <c r="I310">
        <v>57</v>
      </c>
      <c r="J310">
        <v>666</v>
      </c>
      <c r="K310">
        <v>3</v>
      </c>
      <c r="L310" t="s">
        <v>39</v>
      </c>
      <c r="M310" s="2">
        <f t="shared" si="4"/>
        <v>240.39215686274511</v>
      </c>
      <c r="N3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10" s="1">
        <f>F:F/I:I</f>
        <v>5</v>
      </c>
    </row>
    <row r="311" spans="1:15" x14ac:dyDescent="0.3">
      <c r="A311">
        <v>310</v>
      </c>
      <c r="B311">
        <v>40</v>
      </c>
      <c r="C311" t="s">
        <v>11</v>
      </c>
      <c r="D311" t="s">
        <v>17</v>
      </c>
      <c r="E311" t="s">
        <v>13</v>
      </c>
      <c r="F311">
        <v>397</v>
      </c>
      <c r="G311">
        <v>6.8</v>
      </c>
      <c r="H311">
        <v>2027</v>
      </c>
      <c r="I311">
        <v>66</v>
      </c>
      <c r="J311">
        <v>1167</v>
      </c>
      <c r="K311">
        <v>4</v>
      </c>
      <c r="L311" t="s">
        <v>34</v>
      </c>
      <c r="M311" s="2">
        <f t="shared" si="4"/>
        <v>298.08823529411768</v>
      </c>
      <c r="N3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11" s="1">
        <f>F:F/I:I</f>
        <v>6.0151515151515156</v>
      </c>
    </row>
    <row r="312" spans="1:15" x14ac:dyDescent="0.3">
      <c r="A312">
        <v>311</v>
      </c>
      <c r="B312">
        <v>25</v>
      </c>
      <c r="C312" t="s">
        <v>14</v>
      </c>
      <c r="D312" t="s">
        <v>16</v>
      </c>
      <c r="E312" t="s">
        <v>13</v>
      </c>
      <c r="F312">
        <v>230</v>
      </c>
      <c r="G312">
        <v>4.2</v>
      </c>
      <c r="H312">
        <v>1507</v>
      </c>
      <c r="I312">
        <v>51</v>
      </c>
      <c r="J312">
        <v>868</v>
      </c>
      <c r="K312">
        <v>3</v>
      </c>
      <c r="L312" t="s">
        <v>36</v>
      </c>
      <c r="M312" s="2">
        <f t="shared" si="4"/>
        <v>358.8095238095238</v>
      </c>
      <c r="N3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12" s="1">
        <f>F:F/I:I</f>
        <v>4.5098039215686274</v>
      </c>
    </row>
    <row r="313" spans="1:15" x14ac:dyDescent="0.3">
      <c r="A313">
        <v>312</v>
      </c>
      <c r="B313">
        <v>32</v>
      </c>
      <c r="C313" t="s">
        <v>14</v>
      </c>
      <c r="D313" t="s">
        <v>18</v>
      </c>
      <c r="E313" t="s">
        <v>19</v>
      </c>
      <c r="F313">
        <v>341</v>
      </c>
      <c r="G313">
        <v>7.2</v>
      </c>
      <c r="H313">
        <v>2397</v>
      </c>
      <c r="I313">
        <v>68</v>
      </c>
      <c r="J313">
        <v>1055</v>
      </c>
      <c r="K313">
        <v>4</v>
      </c>
      <c r="L313" t="s">
        <v>40</v>
      </c>
      <c r="M313" s="2">
        <f t="shared" si="4"/>
        <v>332.91666666666669</v>
      </c>
      <c r="N3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13" s="1">
        <f>F:F/I:I</f>
        <v>5.0147058823529411</v>
      </c>
    </row>
    <row r="314" spans="1:15" x14ac:dyDescent="0.3">
      <c r="A314">
        <v>313</v>
      </c>
      <c r="B314">
        <v>20</v>
      </c>
      <c r="C314" t="s">
        <v>11</v>
      </c>
      <c r="D314" t="s">
        <v>15</v>
      </c>
      <c r="E314" t="s">
        <v>13</v>
      </c>
      <c r="F314">
        <v>132</v>
      </c>
      <c r="G314">
        <v>2.9</v>
      </c>
      <c r="H314">
        <v>1054</v>
      </c>
      <c r="I314">
        <v>32</v>
      </c>
      <c r="J314">
        <v>563</v>
      </c>
      <c r="K314">
        <v>2</v>
      </c>
      <c r="L314" t="s">
        <v>39</v>
      </c>
      <c r="M314" s="2">
        <f t="shared" si="4"/>
        <v>363.44827586206895</v>
      </c>
      <c r="N3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14" s="1">
        <f>F:F/I:I</f>
        <v>4.125</v>
      </c>
    </row>
    <row r="315" spans="1:15" x14ac:dyDescent="0.3">
      <c r="A315">
        <v>314</v>
      </c>
      <c r="B315">
        <v>49</v>
      </c>
      <c r="C315" t="s">
        <v>14</v>
      </c>
      <c r="D315" t="s">
        <v>12</v>
      </c>
      <c r="E315" t="s">
        <v>13</v>
      </c>
      <c r="F315">
        <v>130</v>
      </c>
      <c r="G315">
        <v>3</v>
      </c>
      <c r="H315">
        <v>820</v>
      </c>
      <c r="I315">
        <v>21</v>
      </c>
      <c r="J315">
        <v>308</v>
      </c>
      <c r="K315">
        <v>2</v>
      </c>
      <c r="L315" t="s">
        <v>41</v>
      </c>
      <c r="M315" s="2">
        <f t="shared" si="4"/>
        <v>273.33333333333331</v>
      </c>
      <c r="N3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15" s="1">
        <f>F:F/I:I</f>
        <v>6.1904761904761907</v>
      </c>
    </row>
    <row r="316" spans="1:15" x14ac:dyDescent="0.3">
      <c r="A316">
        <v>315</v>
      </c>
      <c r="B316">
        <v>29</v>
      </c>
      <c r="C316" t="s">
        <v>11</v>
      </c>
      <c r="D316" t="s">
        <v>18</v>
      </c>
      <c r="E316" t="s">
        <v>19</v>
      </c>
      <c r="F316">
        <v>281</v>
      </c>
      <c r="G316">
        <v>4.9000000000000004</v>
      </c>
      <c r="H316">
        <v>1566</v>
      </c>
      <c r="I316">
        <v>59</v>
      </c>
      <c r="J316">
        <v>632</v>
      </c>
      <c r="K316">
        <v>3</v>
      </c>
      <c r="L316" t="s">
        <v>36</v>
      </c>
      <c r="M316" s="2">
        <f t="shared" si="4"/>
        <v>319.59183673469386</v>
      </c>
      <c r="N3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16" s="1">
        <f>F:F/I:I</f>
        <v>4.7627118644067794</v>
      </c>
    </row>
    <row r="317" spans="1:15" x14ac:dyDescent="0.3">
      <c r="A317">
        <v>316</v>
      </c>
      <c r="B317">
        <v>55</v>
      </c>
      <c r="C317" t="s">
        <v>14</v>
      </c>
      <c r="D317" t="s">
        <v>17</v>
      </c>
      <c r="E317" t="s">
        <v>13</v>
      </c>
      <c r="F317">
        <v>74</v>
      </c>
      <c r="G317">
        <v>2</v>
      </c>
      <c r="H317">
        <v>320</v>
      </c>
      <c r="I317">
        <v>11</v>
      </c>
      <c r="J317">
        <v>103</v>
      </c>
      <c r="K317">
        <v>1</v>
      </c>
      <c r="L317" t="s">
        <v>37</v>
      </c>
      <c r="M317" s="2">
        <f t="shared" si="4"/>
        <v>160</v>
      </c>
      <c r="N3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17" s="1">
        <f>F:F/I:I</f>
        <v>6.7272727272727275</v>
      </c>
    </row>
    <row r="318" spans="1:15" x14ac:dyDescent="0.3">
      <c r="A318">
        <v>317</v>
      </c>
      <c r="B318">
        <v>42</v>
      </c>
      <c r="C318" t="s">
        <v>14</v>
      </c>
      <c r="D318" t="s">
        <v>17</v>
      </c>
      <c r="E318" t="s">
        <v>13</v>
      </c>
      <c r="F318">
        <v>299</v>
      </c>
      <c r="G318">
        <v>4.3</v>
      </c>
      <c r="H318">
        <v>1737</v>
      </c>
      <c r="I318">
        <v>43</v>
      </c>
      <c r="J318">
        <v>953</v>
      </c>
      <c r="K318">
        <v>3</v>
      </c>
      <c r="L318" t="s">
        <v>34</v>
      </c>
      <c r="M318" s="2">
        <f t="shared" si="4"/>
        <v>403.95348837209303</v>
      </c>
      <c r="N3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18" s="1">
        <f>F:F/I:I</f>
        <v>6.9534883720930232</v>
      </c>
    </row>
    <row r="319" spans="1:15" x14ac:dyDescent="0.3">
      <c r="A319">
        <v>318</v>
      </c>
      <c r="B319">
        <v>28</v>
      </c>
      <c r="C319" t="s">
        <v>14</v>
      </c>
      <c r="D319" t="s">
        <v>15</v>
      </c>
      <c r="E319" t="s">
        <v>13</v>
      </c>
      <c r="F319">
        <v>116</v>
      </c>
      <c r="G319">
        <v>2.2000000000000002</v>
      </c>
      <c r="H319">
        <v>827</v>
      </c>
      <c r="I319">
        <v>29</v>
      </c>
      <c r="J319">
        <v>434</v>
      </c>
      <c r="K319">
        <v>2</v>
      </c>
      <c r="L319" t="s">
        <v>36</v>
      </c>
      <c r="M319" s="2">
        <f t="shared" si="4"/>
        <v>375.90909090909088</v>
      </c>
      <c r="N3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19" s="1">
        <f>F:F/I:I</f>
        <v>4</v>
      </c>
    </row>
    <row r="320" spans="1:15" x14ac:dyDescent="0.3">
      <c r="A320">
        <v>319</v>
      </c>
      <c r="B320">
        <v>47</v>
      </c>
      <c r="C320" t="s">
        <v>14</v>
      </c>
      <c r="D320" t="s">
        <v>17</v>
      </c>
      <c r="E320" t="s">
        <v>13</v>
      </c>
      <c r="F320">
        <v>408</v>
      </c>
      <c r="G320">
        <v>6.6</v>
      </c>
      <c r="H320">
        <v>2026</v>
      </c>
      <c r="I320">
        <v>63</v>
      </c>
      <c r="J320">
        <v>1076</v>
      </c>
      <c r="K320">
        <v>4</v>
      </c>
      <c r="L320" t="s">
        <v>41</v>
      </c>
      <c r="M320" s="2">
        <f t="shared" si="4"/>
        <v>306.969696969697</v>
      </c>
      <c r="N3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20" s="1">
        <f>F:F/I:I</f>
        <v>6.4761904761904763</v>
      </c>
    </row>
    <row r="321" spans="1:15" x14ac:dyDescent="0.3">
      <c r="A321">
        <v>320</v>
      </c>
      <c r="B321">
        <v>51</v>
      </c>
      <c r="C321" t="s">
        <v>11</v>
      </c>
      <c r="D321" t="s">
        <v>15</v>
      </c>
      <c r="E321" t="s">
        <v>13</v>
      </c>
      <c r="F321">
        <v>508</v>
      </c>
      <c r="G321">
        <v>11.3</v>
      </c>
      <c r="H321">
        <v>2590</v>
      </c>
      <c r="I321">
        <v>81</v>
      </c>
      <c r="J321">
        <v>2481</v>
      </c>
      <c r="K321">
        <v>5</v>
      </c>
      <c r="L321" t="s">
        <v>38</v>
      </c>
      <c r="M321" s="2">
        <f t="shared" si="4"/>
        <v>229.20353982300884</v>
      </c>
      <c r="N3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21" s="1">
        <f>F:F/I:I</f>
        <v>6.2716049382716053</v>
      </c>
    </row>
    <row r="322" spans="1:15" x14ac:dyDescent="0.3">
      <c r="A322">
        <v>321</v>
      </c>
      <c r="B322">
        <v>22</v>
      </c>
      <c r="C322" t="s">
        <v>14</v>
      </c>
      <c r="D322" t="s">
        <v>18</v>
      </c>
      <c r="E322" t="s">
        <v>19</v>
      </c>
      <c r="F322">
        <v>227</v>
      </c>
      <c r="G322">
        <v>4.4000000000000004</v>
      </c>
      <c r="H322">
        <v>1275</v>
      </c>
      <c r="I322">
        <v>56</v>
      </c>
      <c r="J322">
        <v>984</v>
      </c>
      <c r="K322">
        <v>3</v>
      </c>
      <c r="L322" t="s">
        <v>39</v>
      </c>
      <c r="M322" s="2">
        <f t="shared" ref="M322:M385" si="5">H:H/G:G</f>
        <v>289.77272727272725</v>
      </c>
      <c r="N3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22" s="1">
        <f>F:F/I:I</f>
        <v>4.0535714285714288</v>
      </c>
    </row>
    <row r="323" spans="1:15" x14ac:dyDescent="0.3">
      <c r="A323">
        <v>322</v>
      </c>
      <c r="B323">
        <v>57</v>
      </c>
      <c r="C323" t="s">
        <v>14</v>
      </c>
      <c r="D323" t="s">
        <v>15</v>
      </c>
      <c r="E323" t="s">
        <v>13</v>
      </c>
      <c r="F323">
        <v>274</v>
      </c>
      <c r="G323">
        <v>6</v>
      </c>
      <c r="H323">
        <v>1489</v>
      </c>
      <c r="I323">
        <v>56</v>
      </c>
      <c r="J323">
        <v>666</v>
      </c>
      <c r="K323">
        <v>3</v>
      </c>
      <c r="L323" t="s">
        <v>37</v>
      </c>
      <c r="M323" s="2">
        <f t="shared" si="5"/>
        <v>248.16666666666666</v>
      </c>
      <c r="N3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23" s="1">
        <f>F:F/I:I</f>
        <v>4.8928571428571432</v>
      </c>
    </row>
    <row r="324" spans="1:15" x14ac:dyDescent="0.3">
      <c r="A324">
        <v>323</v>
      </c>
      <c r="B324">
        <v>21</v>
      </c>
      <c r="C324" t="s">
        <v>14</v>
      </c>
      <c r="D324" t="s">
        <v>15</v>
      </c>
      <c r="E324" t="s">
        <v>13</v>
      </c>
      <c r="F324">
        <v>347</v>
      </c>
      <c r="G324">
        <v>6.3</v>
      </c>
      <c r="H324">
        <v>2001</v>
      </c>
      <c r="I324">
        <v>61</v>
      </c>
      <c r="J324">
        <v>1456</v>
      </c>
      <c r="K324">
        <v>4</v>
      </c>
      <c r="L324" t="s">
        <v>39</v>
      </c>
      <c r="M324" s="2">
        <f t="shared" si="5"/>
        <v>317.61904761904765</v>
      </c>
      <c r="N3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24" s="1">
        <f>F:F/I:I</f>
        <v>5.6885245901639347</v>
      </c>
    </row>
    <row r="325" spans="1:15" x14ac:dyDescent="0.3">
      <c r="A325">
        <v>324</v>
      </c>
      <c r="B325">
        <v>31</v>
      </c>
      <c r="C325" t="s">
        <v>14</v>
      </c>
      <c r="D325" t="s">
        <v>12</v>
      </c>
      <c r="E325" t="s">
        <v>13</v>
      </c>
      <c r="F325">
        <v>76</v>
      </c>
      <c r="G325">
        <v>1.3</v>
      </c>
      <c r="H325">
        <v>490</v>
      </c>
      <c r="I325">
        <v>14</v>
      </c>
      <c r="J325">
        <v>156</v>
      </c>
      <c r="K325">
        <v>1</v>
      </c>
      <c r="L325" t="s">
        <v>40</v>
      </c>
      <c r="M325" s="2">
        <f t="shared" si="5"/>
        <v>376.92307692307691</v>
      </c>
      <c r="N3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25" s="1">
        <f>F:F/I:I</f>
        <v>5.4285714285714288</v>
      </c>
    </row>
    <row r="326" spans="1:15" x14ac:dyDescent="0.3">
      <c r="A326">
        <v>325</v>
      </c>
      <c r="B326">
        <v>23</v>
      </c>
      <c r="C326" t="s">
        <v>11</v>
      </c>
      <c r="D326" t="s">
        <v>18</v>
      </c>
      <c r="E326" t="s">
        <v>19</v>
      </c>
      <c r="F326">
        <v>445</v>
      </c>
      <c r="G326">
        <v>7.5</v>
      </c>
      <c r="H326">
        <v>2007</v>
      </c>
      <c r="I326">
        <v>78</v>
      </c>
      <c r="J326">
        <v>1115</v>
      </c>
      <c r="K326">
        <v>4</v>
      </c>
      <c r="L326" t="s">
        <v>39</v>
      </c>
      <c r="M326" s="2">
        <f t="shared" si="5"/>
        <v>267.60000000000002</v>
      </c>
      <c r="N3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26" s="1">
        <f>F:F/I:I</f>
        <v>5.7051282051282053</v>
      </c>
    </row>
    <row r="327" spans="1:15" x14ac:dyDescent="0.3">
      <c r="A327">
        <v>326</v>
      </c>
      <c r="B327">
        <v>25</v>
      </c>
      <c r="C327" t="s">
        <v>14</v>
      </c>
      <c r="D327" t="s">
        <v>17</v>
      </c>
      <c r="E327" t="s">
        <v>13</v>
      </c>
      <c r="F327">
        <v>203</v>
      </c>
      <c r="G327">
        <v>4.3</v>
      </c>
      <c r="H327">
        <v>1554</v>
      </c>
      <c r="I327">
        <v>54</v>
      </c>
      <c r="J327">
        <v>638</v>
      </c>
      <c r="K327">
        <v>3</v>
      </c>
      <c r="L327" t="s">
        <v>36</v>
      </c>
      <c r="M327" s="2">
        <f t="shared" si="5"/>
        <v>361.39534883720933</v>
      </c>
      <c r="N3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27" s="1">
        <f>F:F/I:I</f>
        <v>3.7592592592592591</v>
      </c>
    </row>
    <row r="328" spans="1:15" x14ac:dyDescent="0.3">
      <c r="A328">
        <v>327</v>
      </c>
      <c r="B328">
        <v>55</v>
      </c>
      <c r="C328" t="s">
        <v>11</v>
      </c>
      <c r="D328" t="s">
        <v>16</v>
      </c>
      <c r="E328" t="s">
        <v>13</v>
      </c>
      <c r="F328">
        <v>199</v>
      </c>
      <c r="G328">
        <v>6</v>
      </c>
      <c r="H328">
        <v>1707</v>
      </c>
      <c r="I328">
        <v>57</v>
      </c>
      <c r="J328">
        <v>881</v>
      </c>
      <c r="K328">
        <v>3</v>
      </c>
      <c r="L328" t="s">
        <v>37</v>
      </c>
      <c r="M328" s="2">
        <f t="shared" si="5"/>
        <v>284.5</v>
      </c>
      <c r="N3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28" s="1">
        <f>F:F/I:I</f>
        <v>3.4912280701754388</v>
      </c>
    </row>
    <row r="329" spans="1:15" x14ac:dyDescent="0.3">
      <c r="A329">
        <v>328</v>
      </c>
      <c r="B329">
        <v>24</v>
      </c>
      <c r="C329" t="s">
        <v>14</v>
      </c>
      <c r="D329" t="s">
        <v>17</v>
      </c>
      <c r="E329" t="s">
        <v>13</v>
      </c>
      <c r="F329">
        <v>48</v>
      </c>
      <c r="G329">
        <v>2</v>
      </c>
      <c r="H329">
        <v>574</v>
      </c>
      <c r="I329">
        <v>18</v>
      </c>
      <c r="J329">
        <v>127</v>
      </c>
      <c r="K329">
        <v>1</v>
      </c>
      <c r="L329" t="s">
        <v>39</v>
      </c>
      <c r="M329" s="2">
        <f t="shared" si="5"/>
        <v>287</v>
      </c>
      <c r="N3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29" s="1">
        <f>F:F/I:I</f>
        <v>2.6666666666666665</v>
      </c>
    </row>
    <row r="330" spans="1:15" x14ac:dyDescent="0.3">
      <c r="A330">
        <v>329</v>
      </c>
      <c r="B330">
        <v>31</v>
      </c>
      <c r="C330" t="s">
        <v>14</v>
      </c>
      <c r="D330" t="s">
        <v>17</v>
      </c>
      <c r="E330" t="s">
        <v>13</v>
      </c>
      <c r="F330">
        <v>88</v>
      </c>
      <c r="G330">
        <v>1.6</v>
      </c>
      <c r="H330">
        <v>420</v>
      </c>
      <c r="I330">
        <v>12</v>
      </c>
      <c r="J330">
        <v>274</v>
      </c>
      <c r="K330">
        <v>1</v>
      </c>
      <c r="L330" t="s">
        <v>40</v>
      </c>
      <c r="M330" s="2">
        <f t="shared" si="5"/>
        <v>262.5</v>
      </c>
      <c r="N3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30" s="1">
        <f>F:F/I:I</f>
        <v>7.333333333333333</v>
      </c>
    </row>
    <row r="331" spans="1:15" x14ac:dyDescent="0.3">
      <c r="A331">
        <v>330</v>
      </c>
      <c r="B331">
        <v>42</v>
      </c>
      <c r="C331" t="s">
        <v>14</v>
      </c>
      <c r="D331" t="s">
        <v>18</v>
      </c>
      <c r="E331" t="s">
        <v>19</v>
      </c>
      <c r="F331">
        <v>541</v>
      </c>
      <c r="G331">
        <v>8.3000000000000007</v>
      </c>
      <c r="H331">
        <v>2865</v>
      </c>
      <c r="I331">
        <v>89</v>
      </c>
      <c r="J331">
        <v>1820</v>
      </c>
      <c r="K331">
        <v>5</v>
      </c>
      <c r="L331" t="s">
        <v>34</v>
      </c>
      <c r="M331" s="2">
        <f t="shared" si="5"/>
        <v>345.18072289156623</v>
      </c>
      <c r="N3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31" s="1">
        <f>F:F/I:I</f>
        <v>6.0786516853932584</v>
      </c>
    </row>
    <row r="332" spans="1:15" x14ac:dyDescent="0.3">
      <c r="A332">
        <v>331</v>
      </c>
      <c r="B332">
        <v>21</v>
      </c>
      <c r="C332" t="s">
        <v>14</v>
      </c>
      <c r="D332" t="s">
        <v>15</v>
      </c>
      <c r="E332" t="s">
        <v>13</v>
      </c>
      <c r="F332">
        <v>233</v>
      </c>
      <c r="G332">
        <v>4.5999999999999996</v>
      </c>
      <c r="H332">
        <v>1534</v>
      </c>
      <c r="I332">
        <v>49</v>
      </c>
      <c r="J332">
        <v>796</v>
      </c>
      <c r="K332">
        <v>3</v>
      </c>
      <c r="L332" t="s">
        <v>39</v>
      </c>
      <c r="M332" s="2">
        <f t="shared" si="5"/>
        <v>333.47826086956525</v>
      </c>
      <c r="N3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32" s="1">
        <f>F:F/I:I</f>
        <v>4.7551020408163263</v>
      </c>
    </row>
    <row r="333" spans="1:15" x14ac:dyDescent="0.3">
      <c r="A333">
        <v>332</v>
      </c>
      <c r="B333">
        <v>47</v>
      </c>
      <c r="C333" t="s">
        <v>14</v>
      </c>
      <c r="D333" t="s">
        <v>18</v>
      </c>
      <c r="E333" t="s">
        <v>19</v>
      </c>
      <c r="F333">
        <v>176</v>
      </c>
      <c r="G333">
        <v>3.8</v>
      </c>
      <c r="H333">
        <v>727</v>
      </c>
      <c r="I333">
        <v>36</v>
      </c>
      <c r="J333">
        <v>362</v>
      </c>
      <c r="K333">
        <v>2</v>
      </c>
      <c r="L333" t="s">
        <v>41</v>
      </c>
      <c r="M333" s="2">
        <f t="shared" si="5"/>
        <v>191.31578947368422</v>
      </c>
      <c r="N3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33" s="1">
        <f>F:F/I:I</f>
        <v>4.8888888888888893</v>
      </c>
    </row>
    <row r="334" spans="1:15" x14ac:dyDescent="0.3">
      <c r="A334">
        <v>333</v>
      </c>
      <c r="B334">
        <v>54</v>
      </c>
      <c r="C334" t="s">
        <v>11</v>
      </c>
      <c r="D334" t="s">
        <v>17</v>
      </c>
      <c r="E334" t="s">
        <v>13</v>
      </c>
      <c r="F334">
        <v>191</v>
      </c>
      <c r="G334">
        <v>6</v>
      </c>
      <c r="H334">
        <v>1762</v>
      </c>
      <c r="I334">
        <v>45</v>
      </c>
      <c r="J334">
        <v>904</v>
      </c>
      <c r="K334">
        <v>3</v>
      </c>
      <c r="L334" t="s">
        <v>38</v>
      </c>
      <c r="M334" s="2">
        <f t="shared" si="5"/>
        <v>293.66666666666669</v>
      </c>
      <c r="N3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34" s="1">
        <f>F:F/I:I</f>
        <v>4.2444444444444445</v>
      </c>
    </row>
    <row r="335" spans="1:15" x14ac:dyDescent="0.3">
      <c r="A335">
        <v>334</v>
      </c>
      <c r="B335">
        <v>34</v>
      </c>
      <c r="C335" t="s">
        <v>14</v>
      </c>
      <c r="D335" t="s">
        <v>15</v>
      </c>
      <c r="E335" t="s">
        <v>13</v>
      </c>
      <c r="F335">
        <v>461</v>
      </c>
      <c r="G335">
        <v>7.5</v>
      </c>
      <c r="H335">
        <v>2001</v>
      </c>
      <c r="I335">
        <v>69</v>
      </c>
      <c r="J335">
        <v>1324</v>
      </c>
      <c r="K335">
        <v>4</v>
      </c>
      <c r="L335" t="s">
        <v>40</v>
      </c>
      <c r="M335" s="2">
        <f t="shared" si="5"/>
        <v>266.8</v>
      </c>
      <c r="N3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35" s="1">
        <f>F:F/I:I</f>
        <v>6.6811594202898554</v>
      </c>
    </row>
    <row r="336" spans="1:15" x14ac:dyDescent="0.3">
      <c r="A336">
        <v>335</v>
      </c>
      <c r="B336">
        <v>46</v>
      </c>
      <c r="C336" t="s">
        <v>14</v>
      </c>
      <c r="D336" t="s">
        <v>16</v>
      </c>
      <c r="E336" t="s">
        <v>13</v>
      </c>
      <c r="F336">
        <v>37</v>
      </c>
      <c r="G336">
        <v>1.5</v>
      </c>
      <c r="H336">
        <v>375</v>
      </c>
      <c r="I336">
        <v>18</v>
      </c>
      <c r="J336">
        <v>246</v>
      </c>
      <c r="K336">
        <v>1</v>
      </c>
      <c r="L336" t="s">
        <v>41</v>
      </c>
      <c r="M336" s="2">
        <f t="shared" si="5"/>
        <v>250</v>
      </c>
      <c r="N3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36" s="1">
        <f>F:F/I:I</f>
        <v>2.0555555555555554</v>
      </c>
    </row>
    <row r="337" spans="1:15" x14ac:dyDescent="0.3">
      <c r="A337">
        <v>336</v>
      </c>
      <c r="B337">
        <v>45</v>
      </c>
      <c r="C337" t="s">
        <v>14</v>
      </c>
      <c r="D337" t="s">
        <v>17</v>
      </c>
      <c r="E337" t="s">
        <v>13</v>
      </c>
      <c r="F337">
        <v>531</v>
      </c>
      <c r="G337">
        <v>9.8000000000000007</v>
      </c>
      <c r="H337">
        <v>2905</v>
      </c>
      <c r="I337">
        <v>99</v>
      </c>
      <c r="J337">
        <v>1632</v>
      </c>
      <c r="K337">
        <v>5</v>
      </c>
      <c r="L337" t="s">
        <v>41</v>
      </c>
      <c r="M337" s="2">
        <f t="shared" si="5"/>
        <v>296.42857142857139</v>
      </c>
      <c r="N3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37" s="1">
        <f>F:F/I:I</f>
        <v>5.3636363636363633</v>
      </c>
    </row>
    <row r="338" spans="1:15" x14ac:dyDescent="0.3">
      <c r="A338">
        <v>337</v>
      </c>
      <c r="B338">
        <v>44</v>
      </c>
      <c r="C338" t="s">
        <v>11</v>
      </c>
      <c r="D338" t="s">
        <v>16</v>
      </c>
      <c r="E338" t="s">
        <v>13</v>
      </c>
      <c r="F338">
        <v>473</v>
      </c>
      <c r="G338">
        <v>7.9</v>
      </c>
      <c r="H338">
        <v>2292</v>
      </c>
      <c r="I338">
        <v>62</v>
      </c>
      <c r="J338">
        <v>1472</v>
      </c>
      <c r="K338">
        <v>4</v>
      </c>
      <c r="L338" t="s">
        <v>34</v>
      </c>
      <c r="M338" s="2">
        <f t="shared" si="5"/>
        <v>290.12658227848101</v>
      </c>
      <c r="N3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38" s="1">
        <f>F:F/I:I</f>
        <v>7.629032258064516</v>
      </c>
    </row>
    <row r="339" spans="1:15" x14ac:dyDescent="0.3">
      <c r="A339">
        <v>338</v>
      </c>
      <c r="B339">
        <v>34</v>
      </c>
      <c r="C339" t="s">
        <v>11</v>
      </c>
      <c r="D339" t="s">
        <v>16</v>
      </c>
      <c r="E339" t="s">
        <v>13</v>
      </c>
      <c r="F339">
        <v>30</v>
      </c>
      <c r="G339">
        <v>1.3</v>
      </c>
      <c r="H339">
        <v>561</v>
      </c>
      <c r="I339">
        <v>15</v>
      </c>
      <c r="J339">
        <v>252</v>
      </c>
      <c r="K339">
        <v>1</v>
      </c>
      <c r="L339" t="s">
        <v>40</v>
      </c>
      <c r="M339" s="2">
        <f t="shared" si="5"/>
        <v>431.53846153846155</v>
      </c>
      <c r="N3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39" s="1">
        <f>F:F/I:I</f>
        <v>2</v>
      </c>
    </row>
    <row r="340" spans="1:15" x14ac:dyDescent="0.3">
      <c r="A340">
        <v>339</v>
      </c>
      <c r="B340">
        <v>46</v>
      </c>
      <c r="C340" t="s">
        <v>11</v>
      </c>
      <c r="D340" t="s">
        <v>18</v>
      </c>
      <c r="E340" t="s">
        <v>19</v>
      </c>
      <c r="F340">
        <v>306</v>
      </c>
      <c r="G340">
        <v>6.1</v>
      </c>
      <c r="H340">
        <v>2267</v>
      </c>
      <c r="I340">
        <v>70</v>
      </c>
      <c r="J340">
        <v>1449</v>
      </c>
      <c r="K340">
        <v>4</v>
      </c>
      <c r="L340" t="s">
        <v>41</v>
      </c>
      <c r="M340" s="2">
        <f t="shared" si="5"/>
        <v>371.63934426229508</v>
      </c>
      <c r="N3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40" s="1">
        <f>F:F/I:I</f>
        <v>4.371428571428571</v>
      </c>
    </row>
    <row r="341" spans="1:15" x14ac:dyDescent="0.3">
      <c r="A341">
        <v>340</v>
      </c>
      <c r="B341">
        <v>30</v>
      </c>
      <c r="C341" t="s">
        <v>11</v>
      </c>
      <c r="D341" t="s">
        <v>18</v>
      </c>
      <c r="E341" t="s">
        <v>19</v>
      </c>
      <c r="F341">
        <v>64</v>
      </c>
      <c r="G341">
        <v>1.2</v>
      </c>
      <c r="H341">
        <v>590</v>
      </c>
      <c r="I341">
        <v>13</v>
      </c>
      <c r="J341">
        <v>155</v>
      </c>
      <c r="K341">
        <v>1</v>
      </c>
      <c r="L341" t="s">
        <v>40</v>
      </c>
      <c r="M341" s="2">
        <f t="shared" si="5"/>
        <v>491.66666666666669</v>
      </c>
      <c r="N3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41" s="1">
        <f>F:F/I:I</f>
        <v>4.9230769230769234</v>
      </c>
    </row>
    <row r="342" spans="1:15" x14ac:dyDescent="0.3">
      <c r="A342">
        <v>341</v>
      </c>
      <c r="B342">
        <v>43</v>
      </c>
      <c r="C342" t="s">
        <v>11</v>
      </c>
      <c r="D342" t="s">
        <v>18</v>
      </c>
      <c r="E342" t="s">
        <v>19</v>
      </c>
      <c r="F342">
        <v>75</v>
      </c>
      <c r="G342">
        <v>1</v>
      </c>
      <c r="H342">
        <v>435</v>
      </c>
      <c r="I342">
        <v>13</v>
      </c>
      <c r="J342">
        <v>223</v>
      </c>
      <c r="K342">
        <v>1</v>
      </c>
      <c r="L342" t="s">
        <v>34</v>
      </c>
      <c r="M342" s="2">
        <f t="shared" si="5"/>
        <v>435</v>
      </c>
      <c r="N3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42" s="1">
        <f>F:F/I:I</f>
        <v>5.7692307692307692</v>
      </c>
    </row>
    <row r="343" spans="1:15" x14ac:dyDescent="0.3">
      <c r="A343">
        <v>342</v>
      </c>
      <c r="B343">
        <v>26</v>
      </c>
      <c r="C343" t="s">
        <v>14</v>
      </c>
      <c r="D343" t="s">
        <v>18</v>
      </c>
      <c r="E343" t="s">
        <v>19</v>
      </c>
      <c r="F343">
        <v>597</v>
      </c>
      <c r="G343">
        <v>10.3</v>
      </c>
      <c r="H343">
        <v>2718</v>
      </c>
      <c r="I343">
        <v>90</v>
      </c>
      <c r="J343">
        <v>1863</v>
      </c>
      <c r="K343">
        <v>5</v>
      </c>
      <c r="L343" t="s">
        <v>36</v>
      </c>
      <c r="M343" s="2">
        <f t="shared" si="5"/>
        <v>263.88349514563106</v>
      </c>
      <c r="N3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43" s="1">
        <f>F:F/I:I</f>
        <v>6.6333333333333337</v>
      </c>
    </row>
    <row r="344" spans="1:15" x14ac:dyDescent="0.3">
      <c r="A344">
        <v>343</v>
      </c>
      <c r="B344">
        <v>56</v>
      </c>
      <c r="C344" t="s">
        <v>11</v>
      </c>
      <c r="D344" t="s">
        <v>18</v>
      </c>
      <c r="E344" t="s">
        <v>19</v>
      </c>
      <c r="F344">
        <v>529</v>
      </c>
      <c r="G344">
        <v>10.5</v>
      </c>
      <c r="H344">
        <v>2971</v>
      </c>
      <c r="I344">
        <v>87</v>
      </c>
      <c r="J344">
        <v>1683</v>
      </c>
      <c r="K344">
        <v>5</v>
      </c>
      <c r="L344" t="s">
        <v>37</v>
      </c>
      <c r="M344" s="2">
        <f t="shared" si="5"/>
        <v>282.95238095238096</v>
      </c>
      <c r="N3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44" s="1">
        <f>F:F/I:I</f>
        <v>6.0804597701149428</v>
      </c>
    </row>
    <row r="345" spans="1:15" x14ac:dyDescent="0.3">
      <c r="A345">
        <v>344</v>
      </c>
      <c r="B345">
        <v>57</v>
      </c>
      <c r="C345" t="s">
        <v>14</v>
      </c>
      <c r="D345" t="s">
        <v>18</v>
      </c>
      <c r="E345" t="s">
        <v>19</v>
      </c>
      <c r="F345">
        <v>290</v>
      </c>
      <c r="G345">
        <v>6</v>
      </c>
      <c r="H345">
        <v>1533</v>
      </c>
      <c r="I345">
        <v>54</v>
      </c>
      <c r="J345">
        <v>645</v>
      </c>
      <c r="K345">
        <v>3</v>
      </c>
      <c r="L345" t="s">
        <v>37</v>
      </c>
      <c r="M345" s="2">
        <f t="shared" si="5"/>
        <v>255.5</v>
      </c>
      <c r="N3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45" s="1">
        <f>F:F/I:I</f>
        <v>5.3703703703703702</v>
      </c>
    </row>
    <row r="346" spans="1:15" x14ac:dyDescent="0.3">
      <c r="A346">
        <v>345</v>
      </c>
      <c r="B346">
        <v>43</v>
      </c>
      <c r="C346" t="s">
        <v>11</v>
      </c>
      <c r="D346" t="s">
        <v>18</v>
      </c>
      <c r="E346" t="s">
        <v>19</v>
      </c>
      <c r="F346">
        <v>256</v>
      </c>
      <c r="G346">
        <v>5.8</v>
      </c>
      <c r="H346">
        <v>1309</v>
      </c>
      <c r="I346">
        <v>52</v>
      </c>
      <c r="J346">
        <v>840</v>
      </c>
      <c r="K346">
        <v>3</v>
      </c>
      <c r="L346" t="s">
        <v>34</v>
      </c>
      <c r="M346" s="2">
        <f t="shared" si="5"/>
        <v>225.68965517241381</v>
      </c>
      <c r="N3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46" s="1">
        <f>F:F/I:I</f>
        <v>4.9230769230769234</v>
      </c>
    </row>
    <row r="347" spans="1:15" x14ac:dyDescent="0.3">
      <c r="A347">
        <v>346</v>
      </c>
      <c r="B347">
        <v>37</v>
      </c>
      <c r="C347" t="s">
        <v>14</v>
      </c>
      <c r="D347" t="s">
        <v>18</v>
      </c>
      <c r="E347" t="s">
        <v>19</v>
      </c>
      <c r="F347">
        <v>308</v>
      </c>
      <c r="G347">
        <v>7.7</v>
      </c>
      <c r="H347">
        <v>1974</v>
      </c>
      <c r="I347">
        <v>73</v>
      </c>
      <c r="J347">
        <v>1431</v>
      </c>
      <c r="K347">
        <v>4</v>
      </c>
      <c r="L347" t="s">
        <v>35</v>
      </c>
      <c r="M347" s="2">
        <f t="shared" si="5"/>
        <v>256.36363636363637</v>
      </c>
      <c r="N3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47" s="1">
        <f>F:F/I:I</f>
        <v>4.2191780821917808</v>
      </c>
    </row>
    <row r="348" spans="1:15" x14ac:dyDescent="0.3">
      <c r="A348">
        <v>347</v>
      </c>
      <c r="B348">
        <v>57</v>
      </c>
      <c r="C348" t="s">
        <v>14</v>
      </c>
      <c r="D348" t="s">
        <v>17</v>
      </c>
      <c r="E348" t="s">
        <v>13</v>
      </c>
      <c r="F348">
        <v>156</v>
      </c>
      <c r="G348">
        <v>3.3</v>
      </c>
      <c r="H348">
        <v>1020</v>
      </c>
      <c r="I348">
        <v>38</v>
      </c>
      <c r="J348">
        <v>447</v>
      </c>
      <c r="K348">
        <v>2</v>
      </c>
      <c r="L348" t="s">
        <v>37</v>
      </c>
      <c r="M348" s="2">
        <f t="shared" si="5"/>
        <v>309.09090909090912</v>
      </c>
      <c r="N3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48" s="1">
        <f>F:F/I:I</f>
        <v>4.1052631578947372</v>
      </c>
    </row>
    <row r="349" spans="1:15" x14ac:dyDescent="0.3">
      <c r="A349">
        <v>348</v>
      </c>
      <c r="B349">
        <v>46</v>
      </c>
      <c r="C349" t="s">
        <v>11</v>
      </c>
      <c r="D349" t="s">
        <v>16</v>
      </c>
      <c r="E349" t="s">
        <v>13</v>
      </c>
      <c r="F349">
        <v>62</v>
      </c>
      <c r="G349">
        <v>1.4</v>
      </c>
      <c r="H349">
        <v>542</v>
      </c>
      <c r="I349">
        <v>18</v>
      </c>
      <c r="J349">
        <v>266</v>
      </c>
      <c r="K349">
        <v>1</v>
      </c>
      <c r="L349" t="s">
        <v>41</v>
      </c>
      <c r="M349" s="2">
        <f t="shared" si="5"/>
        <v>387.14285714285717</v>
      </c>
      <c r="N3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49" s="1">
        <f>F:F/I:I</f>
        <v>3.4444444444444446</v>
      </c>
    </row>
    <row r="350" spans="1:15" x14ac:dyDescent="0.3">
      <c r="A350">
        <v>349</v>
      </c>
      <c r="B350">
        <v>26</v>
      </c>
      <c r="C350" t="s">
        <v>11</v>
      </c>
      <c r="D350" t="s">
        <v>15</v>
      </c>
      <c r="E350" t="s">
        <v>13</v>
      </c>
      <c r="F350">
        <v>156</v>
      </c>
      <c r="G350">
        <v>3.8</v>
      </c>
      <c r="H350">
        <v>866</v>
      </c>
      <c r="I350">
        <v>34</v>
      </c>
      <c r="J350">
        <v>510</v>
      </c>
      <c r="K350">
        <v>2</v>
      </c>
      <c r="L350" t="s">
        <v>36</v>
      </c>
      <c r="M350" s="2">
        <f t="shared" si="5"/>
        <v>227.89473684210526</v>
      </c>
      <c r="N3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50" s="1">
        <f>F:F/I:I</f>
        <v>4.5882352941176467</v>
      </c>
    </row>
    <row r="351" spans="1:15" x14ac:dyDescent="0.3">
      <c r="A351">
        <v>350</v>
      </c>
      <c r="B351">
        <v>34</v>
      </c>
      <c r="C351" t="s">
        <v>11</v>
      </c>
      <c r="D351" t="s">
        <v>16</v>
      </c>
      <c r="E351" t="s">
        <v>13</v>
      </c>
      <c r="F351">
        <v>303</v>
      </c>
      <c r="G351">
        <v>7.4</v>
      </c>
      <c r="H351">
        <v>2314</v>
      </c>
      <c r="I351">
        <v>66</v>
      </c>
      <c r="J351">
        <v>1387</v>
      </c>
      <c r="K351">
        <v>4</v>
      </c>
      <c r="L351" t="s">
        <v>40</v>
      </c>
      <c r="M351" s="2">
        <f t="shared" si="5"/>
        <v>312.70270270270271</v>
      </c>
      <c r="N3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51" s="1">
        <f>F:F/I:I</f>
        <v>4.5909090909090908</v>
      </c>
    </row>
    <row r="352" spans="1:15" x14ac:dyDescent="0.3">
      <c r="A352">
        <v>351</v>
      </c>
      <c r="B352">
        <v>54</v>
      </c>
      <c r="C352" t="s">
        <v>11</v>
      </c>
      <c r="D352" t="s">
        <v>16</v>
      </c>
      <c r="E352" t="s">
        <v>13</v>
      </c>
      <c r="F352">
        <v>463</v>
      </c>
      <c r="G352">
        <v>6.9</v>
      </c>
      <c r="H352">
        <v>2111</v>
      </c>
      <c r="I352">
        <v>73</v>
      </c>
      <c r="J352">
        <v>1463</v>
      </c>
      <c r="K352">
        <v>4</v>
      </c>
      <c r="L352" t="s">
        <v>38</v>
      </c>
      <c r="M352" s="2">
        <f t="shared" si="5"/>
        <v>305.94202898550725</v>
      </c>
      <c r="N3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52" s="1">
        <f>F:F/I:I</f>
        <v>6.3424657534246576</v>
      </c>
    </row>
    <row r="353" spans="1:15" x14ac:dyDescent="0.3">
      <c r="A353">
        <v>352</v>
      </c>
      <c r="B353">
        <v>35</v>
      </c>
      <c r="C353" t="s">
        <v>14</v>
      </c>
      <c r="D353" t="s">
        <v>15</v>
      </c>
      <c r="E353" t="s">
        <v>13</v>
      </c>
      <c r="F353">
        <v>60</v>
      </c>
      <c r="G353">
        <v>1.5</v>
      </c>
      <c r="H353">
        <v>593</v>
      </c>
      <c r="I353">
        <v>14</v>
      </c>
      <c r="J353">
        <v>281</v>
      </c>
      <c r="K353">
        <v>1</v>
      </c>
      <c r="L353" t="s">
        <v>35</v>
      </c>
      <c r="M353" s="2">
        <f t="shared" si="5"/>
        <v>395.33333333333331</v>
      </c>
      <c r="N3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53" s="1">
        <f>F:F/I:I</f>
        <v>4.2857142857142856</v>
      </c>
    </row>
    <row r="354" spans="1:15" x14ac:dyDescent="0.3">
      <c r="A354">
        <v>353</v>
      </c>
      <c r="B354">
        <v>20</v>
      </c>
      <c r="C354" t="s">
        <v>14</v>
      </c>
      <c r="D354" t="s">
        <v>15</v>
      </c>
      <c r="E354" t="s">
        <v>13</v>
      </c>
      <c r="F354">
        <v>225</v>
      </c>
      <c r="G354">
        <v>4.5999999999999996</v>
      </c>
      <c r="H354">
        <v>1230</v>
      </c>
      <c r="I354">
        <v>52</v>
      </c>
      <c r="J354">
        <v>954</v>
      </c>
      <c r="K354">
        <v>3</v>
      </c>
      <c r="L354" t="s">
        <v>39</v>
      </c>
      <c r="M354" s="2">
        <f t="shared" si="5"/>
        <v>267.39130434782612</v>
      </c>
      <c r="N3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54" s="1">
        <f>F:F/I:I</f>
        <v>4.3269230769230766</v>
      </c>
    </row>
    <row r="355" spans="1:15" x14ac:dyDescent="0.3">
      <c r="A355">
        <v>354</v>
      </c>
      <c r="B355">
        <v>53</v>
      </c>
      <c r="C355" t="s">
        <v>14</v>
      </c>
      <c r="D355" t="s">
        <v>16</v>
      </c>
      <c r="E355" t="s">
        <v>13</v>
      </c>
      <c r="F355">
        <v>379</v>
      </c>
      <c r="G355">
        <v>7.5</v>
      </c>
      <c r="H355">
        <v>1823</v>
      </c>
      <c r="I355">
        <v>68</v>
      </c>
      <c r="J355">
        <v>1075</v>
      </c>
      <c r="K355">
        <v>4</v>
      </c>
      <c r="L355" t="s">
        <v>38</v>
      </c>
      <c r="M355" s="2">
        <f t="shared" si="5"/>
        <v>243.06666666666666</v>
      </c>
      <c r="N3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55" s="1">
        <f>F:F/I:I</f>
        <v>5.5735294117647056</v>
      </c>
    </row>
    <row r="356" spans="1:15" x14ac:dyDescent="0.3">
      <c r="A356">
        <v>355</v>
      </c>
      <c r="B356">
        <v>54</v>
      </c>
      <c r="C356" t="s">
        <v>14</v>
      </c>
      <c r="D356" t="s">
        <v>17</v>
      </c>
      <c r="E356" t="s">
        <v>13</v>
      </c>
      <c r="F356">
        <v>53</v>
      </c>
      <c r="G356">
        <v>1.4</v>
      </c>
      <c r="H356">
        <v>455</v>
      </c>
      <c r="I356">
        <v>14</v>
      </c>
      <c r="J356">
        <v>106</v>
      </c>
      <c r="K356">
        <v>1</v>
      </c>
      <c r="L356" t="s">
        <v>38</v>
      </c>
      <c r="M356" s="2">
        <f t="shared" si="5"/>
        <v>325</v>
      </c>
      <c r="N3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56" s="1">
        <f>F:F/I:I</f>
        <v>3.7857142857142856</v>
      </c>
    </row>
    <row r="357" spans="1:15" x14ac:dyDescent="0.3">
      <c r="A357">
        <v>356</v>
      </c>
      <c r="B357">
        <v>45</v>
      </c>
      <c r="C357" t="s">
        <v>11</v>
      </c>
      <c r="D357" t="s">
        <v>16</v>
      </c>
      <c r="E357" t="s">
        <v>13</v>
      </c>
      <c r="F357">
        <v>30</v>
      </c>
      <c r="G357">
        <v>1.9</v>
      </c>
      <c r="H357">
        <v>574</v>
      </c>
      <c r="I357">
        <v>19</v>
      </c>
      <c r="J357">
        <v>287</v>
      </c>
      <c r="K357">
        <v>1</v>
      </c>
      <c r="L357" t="s">
        <v>41</v>
      </c>
      <c r="M357" s="2">
        <f t="shared" si="5"/>
        <v>302.10526315789474</v>
      </c>
      <c r="N3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57" s="1">
        <f>F:F/I:I</f>
        <v>1.5789473684210527</v>
      </c>
    </row>
    <row r="358" spans="1:15" x14ac:dyDescent="0.3">
      <c r="A358">
        <v>357</v>
      </c>
      <c r="B358">
        <v>55</v>
      </c>
      <c r="C358" t="s">
        <v>14</v>
      </c>
      <c r="D358" t="s">
        <v>18</v>
      </c>
      <c r="E358" t="s">
        <v>19</v>
      </c>
      <c r="F358">
        <v>291</v>
      </c>
      <c r="G358">
        <v>4.0999999999999996</v>
      </c>
      <c r="H358">
        <v>1326</v>
      </c>
      <c r="I358">
        <v>51</v>
      </c>
      <c r="J358">
        <v>905</v>
      </c>
      <c r="K358">
        <v>3</v>
      </c>
      <c r="L358" t="s">
        <v>37</v>
      </c>
      <c r="M358" s="2">
        <f t="shared" si="5"/>
        <v>323.41463414634148</v>
      </c>
      <c r="N3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58" s="1">
        <f>F:F/I:I</f>
        <v>5.7058823529411766</v>
      </c>
    </row>
    <row r="359" spans="1:15" x14ac:dyDescent="0.3">
      <c r="A359">
        <v>358</v>
      </c>
      <c r="B359">
        <v>48</v>
      </c>
      <c r="C359" t="s">
        <v>14</v>
      </c>
      <c r="D359" t="s">
        <v>18</v>
      </c>
      <c r="E359" t="s">
        <v>19</v>
      </c>
      <c r="F359">
        <v>488</v>
      </c>
      <c r="G359">
        <v>9.5</v>
      </c>
      <c r="H359">
        <v>2840</v>
      </c>
      <c r="I359">
        <v>92</v>
      </c>
      <c r="J359">
        <v>1986</v>
      </c>
      <c r="K359">
        <v>5</v>
      </c>
      <c r="L359" t="s">
        <v>41</v>
      </c>
      <c r="M359" s="2">
        <f t="shared" si="5"/>
        <v>298.94736842105266</v>
      </c>
      <c r="N3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59" s="1">
        <f>F:F/I:I</f>
        <v>5.3043478260869561</v>
      </c>
    </row>
    <row r="360" spans="1:15" x14ac:dyDescent="0.3">
      <c r="A360">
        <v>359</v>
      </c>
      <c r="B360">
        <v>44</v>
      </c>
      <c r="C360" t="s">
        <v>14</v>
      </c>
      <c r="D360" t="s">
        <v>15</v>
      </c>
      <c r="E360" t="s">
        <v>13</v>
      </c>
      <c r="F360">
        <v>74</v>
      </c>
      <c r="G360">
        <v>2</v>
      </c>
      <c r="H360">
        <v>366</v>
      </c>
      <c r="I360">
        <v>13</v>
      </c>
      <c r="J360">
        <v>253</v>
      </c>
      <c r="K360">
        <v>1</v>
      </c>
      <c r="L360" t="s">
        <v>34</v>
      </c>
      <c r="M360" s="2">
        <f t="shared" si="5"/>
        <v>183</v>
      </c>
      <c r="N3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60" s="1">
        <f>F:F/I:I</f>
        <v>5.6923076923076925</v>
      </c>
    </row>
    <row r="361" spans="1:15" x14ac:dyDescent="0.3">
      <c r="A361">
        <v>360</v>
      </c>
      <c r="B361">
        <v>54</v>
      </c>
      <c r="C361" t="s">
        <v>14</v>
      </c>
      <c r="D361" t="s">
        <v>16</v>
      </c>
      <c r="E361" t="s">
        <v>13</v>
      </c>
      <c r="F361">
        <v>230</v>
      </c>
      <c r="G361">
        <v>4.5999999999999996</v>
      </c>
      <c r="H361">
        <v>1325</v>
      </c>
      <c r="I361">
        <v>55</v>
      </c>
      <c r="J361">
        <v>845</v>
      </c>
      <c r="K361">
        <v>3</v>
      </c>
      <c r="L361" t="s">
        <v>38</v>
      </c>
      <c r="M361" s="2">
        <f t="shared" si="5"/>
        <v>288.04347826086956</v>
      </c>
      <c r="N3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61" s="1">
        <f>F:F/I:I</f>
        <v>4.1818181818181817</v>
      </c>
    </row>
    <row r="362" spans="1:15" x14ac:dyDescent="0.3">
      <c r="A362">
        <v>361</v>
      </c>
      <c r="B362">
        <v>26</v>
      </c>
      <c r="C362" t="s">
        <v>11</v>
      </c>
      <c r="D362" t="s">
        <v>16</v>
      </c>
      <c r="E362" t="s">
        <v>13</v>
      </c>
      <c r="F362">
        <v>517</v>
      </c>
      <c r="G362">
        <v>11.8</v>
      </c>
      <c r="H362">
        <v>2435</v>
      </c>
      <c r="I362">
        <v>86</v>
      </c>
      <c r="J362">
        <v>2208</v>
      </c>
      <c r="K362">
        <v>5</v>
      </c>
      <c r="L362" t="s">
        <v>36</v>
      </c>
      <c r="M362" s="2">
        <f t="shared" si="5"/>
        <v>206.35593220338981</v>
      </c>
      <c r="N3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62" s="1">
        <f>F:F/I:I</f>
        <v>6.0116279069767442</v>
      </c>
    </row>
    <row r="363" spans="1:15" x14ac:dyDescent="0.3">
      <c r="A363">
        <v>362</v>
      </c>
      <c r="B363">
        <v>22</v>
      </c>
      <c r="C363" t="s">
        <v>11</v>
      </c>
      <c r="D363" t="s">
        <v>17</v>
      </c>
      <c r="E363" t="s">
        <v>13</v>
      </c>
      <c r="F363">
        <v>557</v>
      </c>
      <c r="G363">
        <v>10.4</v>
      </c>
      <c r="H363">
        <v>2900</v>
      </c>
      <c r="I363">
        <v>97</v>
      </c>
      <c r="J363">
        <v>1609</v>
      </c>
      <c r="K363">
        <v>5</v>
      </c>
      <c r="L363" t="s">
        <v>39</v>
      </c>
      <c r="M363" s="2">
        <f t="shared" si="5"/>
        <v>278.84615384615381</v>
      </c>
      <c r="N3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63" s="1">
        <f>F:F/I:I</f>
        <v>5.7422680412371134</v>
      </c>
    </row>
    <row r="364" spans="1:15" x14ac:dyDescent="0.3">
      <c r="A364">
        <v>363</v>
      </c>
      <c r="B364">
        <v>38</v>
      </c>
      <c r="C364" t="s">
        <v>14</v>
      </c>
      <c r="D364" t="s">
        <v>12</v>
      </c>
      <c r="E364" t="s">
        <v>13</v>
      </c>
      <c r="F364">
        <v>78</v>
      </c>
      <c r="G364">
        <v>1.5</v>
      </c>
      <c r="H364">
        <v>341</v>
      </c>
      <c r="I364">
        <v>11</v>
      </c>
      <c r="J364">
        <v>259</v>
      </c>
      <c r="K364">
        <v>1</v>
      </c>
      <c r="L364" t="s">
        <v>35</v>
      </c>
      <c r="M364" s="2">
        <f t="shared" si="5"/>
        <v>227.33333333333334</v>
      </c>
      <c r="N3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64" s="1">
        <f>F:F/I:I</f>
        <v>7.0909090909090908</v>
      </c>
    </row>
    <row r="365" spans="1:15" x14ac:dyDescent="0.3">
      <c r="A365">
        <v>364</v>
      </c>
      <c r="B365">
        <v>45</v>
      </c>
      <c r="C365" t="s">
        <v>11</v>
      </c>
      <c r="D365" t="s">
        <v>18</v>
      </c>
      <c r="E365" t="s">
        <v>19</v>
      </c>
      <c r="F365">
        <v>321</v>
      </c>
      <c r="G365">
        <v>7.9</v>
      </c>
      <c r="H365">
        <v>2159</v>
      </c>
      <c r="I365">
        <v>64</v>
      </c>
      <c r="J365">
        <v>1499</v>
      </c>
      <c r="K365">
        <v>4</v>
      </c>
      <c r="L365" t="s">
        <v>41</v>
      </c>
      <c r="M365" s="2">
        <f t="shared" si="5"/>
        <v>273.29113924050631</v>
      </c>
      <c r="N3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65" s="1">
        <f>F:F/I:I</f>
        <v>5.015625</v>
      </c>
    </row>
    <row r="366" spans="1:15" x14ac:dyDescent="0.3">
      <c r="A366">
        <v>365</v>
      </c>
      <c r="B366">
        <v>34</v>
      </c>
      <c r="C366" t="s">
        <v>11</v>
      </c>
      <c r="D366" t="s">
        <v>12</v>
      </c>
      <c r="E366" t="s">
        <v>13</v>
      </c>
      <c r="F366">
        <v>579</v>
      </c>
      <c r="G366">
        <v>8.6</v>
      </c>
      <c r="H366">
        <v>2539</v>
      </c>
      <c r="I366">
        <v>84</v>
      </c>
      <c r="J366">
        <v>1935</v>
      </c>
      <c r="K366">
        <v>5</v>
      </c>
      <c r="L366" t="s">
        <v>40</v>
      </c>
      <c r="M366" s="2">
        <f t="shared" si="5"/>
        <v>295.23255813953489</v>
      </c>
      <c r="N3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66" s="1">
        <f>F:F/I:I</f>
        <v>6.8928571428571432</v>
      </c>
    </row>
    <row r="367" spans="1:15" x14ac:dyDescent="0.3">
      <c r="A367">
        <v>366</v>
      </c>
      <c r="B367">
        <v>22</v>
      </c>
      <c r="C367" t="s">
        <v>11</v>
      </c>
      <c r="D367" t="s">
        <v>17</v>
      </c>
      <c r="E367" t="s">
        <v>13</v>
      </c>
      <c r="F367">
        <v>382</v>
      </c>
      <c r="G367">
        <v>7.2</v>
      </c>
      <c r="H367">
        <v>1965</v>
      </c>
      <c r="I367">
        <v>67</v>
      </c>
      <c r="J367">
        <v>1341</v>
      </c>
      <c r="K367">
        <v>4</v>
      </c>
      <c r="L367" t="s">
        <v>39</v>
      </c>
      <c r="M367" s="2">
        <f t="shared" si="5"/>
        <v>272.91666666666669</v>
      </c>
      <c r="N3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67" s="1">
        <f>F:F/I:I</f>
        <v>5.7014925373134329</v>
      </c>
    </row>
    <row r="368" spans="1:15" x14ac:dyDescent="0.3">
      <c r="A368">
        <v>367</v>
      </c>
      <c r="B368">
        <v>29</v>
      </c>
      <c r="C368" t="s">
        <v>14</v>
      </c>
      <c r="D368" t="s">
        <v>12</v>
      </c>
      <c r="E368" t="s">
        <v>13</v>
      </c>
      <c r="F368">
        <v>516</v>
      </c>
      <c r="G368">
        <v>11.6</v>
      </c>
      <c r="H368">
        <v>2464</v>
      </c>
      <c r="I368">
        <v>82</v>
      </c>
      <c r="J368">
        <v>1767</v>
      </c>
      <c r="K368">
        <v>5</v>
      </c>
      <c r="L368" t="s">
        <v>36</v>
      </c>
      <c r="M368" s="2">
        <f t="shared" si="5"/>
        <v>212.41379310344828</v>
      </c>
      <c r="N3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68" s="1">
        <f>F:F/I:I</f>
        <v>6.2926829268292686</v>
      </c>
    </row>
    <row r="369" spans="1:15" x14ac:dyDescent="0.3">
      <c r="A369">
        <v>368</v>
      </c>
      <c r="B369">
        <v>58</v>
      </c>
      <c r="C369" t="s">
        <v>14</v>
      </c>
      <c r="D369" t="s">
        <v>17</v>
      </c>
      <c r="E369" t="s">
        <v>13</v>
      </c>
      <c r="F369">
        <v>598</v>
      </c>
      <c r="G369">
        <v>11.2</v>
      </c>
      <c r="H369">
        <v>2876</v>
      </c>
      <c r="I369">
        <v>85</v>
      </c>
      <c r="J369">
        <v>2477</v>
      </c>
      <c r="K369">
        <v>5</v>
      </c>
      <c r="L369" t="s">
        <v>37</v>
      </c>
      <c r="M369" s="2">
        <f t="shared" si="5"/>
        <v>256.78571428571428</v>
      </c>
      <c r="N3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69" s="1">
        <f>F:F/I:I</f>
        <v>7.0352941176470587</v>
      </c>
    </row>
    <row r="370" spans="1:15" x14ac:dyDescent="0.3">
      <c r="A370">
        <v>369</v>
      </c>
      <c r="B370">
        <v>49</v>
      </c>
      <c r="C370" t="s">
        <v>14</v>
      </c>
      <c r="D370" t="s">
        <v>17</v>
      </c>
      <c r="E370" t="s">
        <v>13</v>
      </c>
      <c r="F370">
        <v>102</v>
      </c>
      <c r="G370">
        <v>3.9</v>
      </c>
      <c r="H370">
        <v>747</v>
      </c>
      <c r="I370">
        <v>36</v>
      </c>
      <c r="J370">
        <v>408</v>
      </c>
      <c r="K370">
        <v>2</v>
      </c>
      <c r="L370" t="s">
        <v>41</v>
      </c>
      <c r="M370" s="2">
        <f t="shared" si="5"/>
        <v>191.53846153846155</v>
      </c>
      <c r="N3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70" s="1">
        <f>F:F/I:I</f>
        <v>2.8333333333333335</v>
      </c>
    </row>
    <row r="371" spans="1:15" x14ac:dyDescent="0.3">
      <c r="A371">
        <v>370</v>
      </c>
      <c r="B371">
        <v>34</v>
      </c>
      <c r="C371" t="s">
        <v>11</v>
      </c>
      <c r="D371" t="s">
        <v>18</v>
      </c>
      <c r="E371" t="s">
        <v>19</v>
      </c>
      <c r="F371">
        <v>165</v>
      </c>
      <c r="G371">
        <v>2.4</v>
      </c>
      <c r="H371">
        <v>816</v>
      </c>
      <c r="I371">
        <v>35</v>
      </c>
      <c r="J371">
        <v>503</v>
      </c>
      <c r="K371">
        <v>2</v>
      </c>
      <c r="L371" t="s">
        <v>40</v>
      </c>
      <c r="M371" s="2">
        <f t="shared" si="5"/>
        <v>340</v>
      </c>
      <c r="N3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71" s="1">
        <f>F:F/I:I</f>
        <v>4.7142857142857144</v>
      </c>
    </row>
    <row r="372" spans="1:15" x14ac:dyDescent="0.3">
      <c r="A372">
        <v>371</v>
      </c>
      <c r="B372">
        <v>25</v>
      </c>
      <c r="C372" t="s">
        <v>14</v>
      </c>
      <c r="D372" t="s">
        <v>18</v>
      </c>
      <c r="E372" t="s">
        <v>19</v>
      </c>
      <c r="F372">
        <v>558</v>
      </c>
      <c r="G372">
        <v>9.8000000000000007</v>
      </c>
      <c r="H372">
        <v>2765</v>
      </c>
      <c r="I372">
        <v>83</v>
      </c>
      <c r="J372">
        <v>1548</v>
      </c>
      <c r="K372">
        <v>5</v>
      </c>
      <c r="L372" t="s">
        <v>36</v>
      </c>
      <c r="M372" s="2">
        <f t="shared" si="5"/>
        <v>282.14285714285711</v>
      </c>
      <c r="N3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72" s="1">
        <f>F:F/I:I</f>
        <v>6.7228915662650603</v>
      </c>
    </row>
    <row r="373" spans="1:15" x14ac:dyDescent="0.3">
      <c r="A373">
        <v>372</v>
      </c>
      <c r="B373">
        <v>22</v>
      </c>
      <c r="C373" t="s">
        <v>11</v>
      </c>
      <c r="D373" t="s">
        <v>15</v>
      </c>
      <c r="E373" t="s">
        <v>13</v>
      </c>
      <c r="F373">
        <v>561</v>
      </c>
      <c r="G373">
        <v>10.6</v>
      </c>
      <c r="H373">
        <v>2547</v>
      </c>
      <c r="I373">
        <v>86</v>
      </c>
      <c r="J373">
        <v>1823</v>
      </c>
      <c r="K373">
        <v>5</v>
      </c>
      <c r="L373" t="s">
        <v>39</v>
      </c>
      <c r="M373" s="2">
        <f t="shared" si="5"/>
        <v>240.28301886792454</v>
      </c>
      <c r="N3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73" s="1">
        <f>F:F/I:I</f>
        <v>6.5232558139534884</v>
      </c>
    </row>
    <row r="374" spans="1:15" x14ac:dyDescent="0.3">
      <c r="A374">
        <v>373</v>
      </c>
      <c r="B374">
        <v>59</v>
      </c>
      <c r="C374" t="s">
        <v>14</v>
      </c>
      <c r="D374" t="s">
        <v>16</v>
      </c>
      <c r="E374" t="s">
        <v>13</v>
      </c>
      <c r="F374">
        <v>511</v>
      </c>
      <c r="G374">
        <v>10.9</v>
      </c>
      <c r="H374">
        <v>2514</v>
      </c>
      <c r="I374">
        <v>91</v>
      </c>
      <c r="J374">
        <v>2335</v>
      </c>
      <c r="K374">
        <v>5</v>
      </c>
      <c r="L374" t="s">
        <v>37</v>
      </c>
      <c r="M374" s="2">
        <f t="shared" si="5"/>
        <v>230.64220183486239</v>
      </c>
      <c r="N3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74" s="1">
        <f>F:F/I:I</f>
        <v>5.615384615384615</v>
      </c>
    </row>
    <row r="375" spans="1:15" x14ac:dyDescent="0.3">
      <c r="A375">
        <v>374</v>
      </c>
      <c r="B375">
        <v>25</v>
      </c>
      <c r="C375" t="s">
        <v>14</v>
      </c>
      <c r="D375" t="s">
        <v>15</v>
      </c>
      <c r="E375" t="s">
        <v>13</v>
      </c>
      <c r="F375">
        <v>560</v>
      </c>
      <c r="G375">
        <v>11.3</v>
      </c>
      <c r="H375">
        <v>2947</v>
      </c>
      <c r="I375">
        <v>95</v>
      </c>
      <c r="J375">
        <v>1663</v>
      </c>
      <c r="K375">
        <v>5</v>
      </c>
      <c r="L375" t="s">
        <v>36</v>
      </c>
      <c r="M375" s="2">
        <f t="shared" si="5"/>
        <v>260.79646017699116</v>
      </c>
      <c r="N3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75" s="1">
        <f>F:F/I:I</f>
        <v>5.8947368421052628</v>
      </c>
    </row>
    <row r="376" spans="1:15" x14ac:dyDescent="0.3">
      <c r="A376">
        <v>375</v>
      </c>
      <c r="B376">
        <v>42</v>
      </c>
      <c r="C376" t="s">
        <v>11</v>
      </c>
      <c r="D376" t="s">
        <v>17</v>
      </c>
      <c r="E376" t="s">
        <v>13</v>
      </c>
      <c r="F376">
        <v>69</v>
      </c>
      <c r="G376">
        <v>1.3</v>
      </c>
      <c r="H376">
        <v>434</v>
      </c>
      <c r="I376">
        <v>12</v>
      </c>
      <c r="J376">
        <v>164</v>
      </c>
      <c r="K376">
        <v>1</v>
      </c>
      <c r="L376" t="s">
        <v>34</v>
      </c>
      <c r="M376" s="2">
        <f t="shared" si="5"/>
        <v>333.84615384615381</v>
      </c>
      <c r="N3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76" s="1">
        <f>F:F/I:I</f>
        <v>5.75</v>
      </c>
    </row>
    <row r="377" spans="1:15" x14ac:dyDescent="0.3">
      <c r="A377">
        <v>376</v>
      </c>
      <c r="B377">
        <v>26</v>
      </c>
      <c r="C377" t="s">
        <v>11</v>
      </c>
      <c r="D377" t="s">
        <v>17</v>
      </c>
      <c r="E377" t="s">
        <v>13</v>
      </c>
      <c r="F377">
        <v>44</v>
      </c>
      <c r="G377">
        <v>1.1000000000000001</v>
      </c>
      <c r="H377">
        <v>531</v>
      </c>
      <c r="I377">
        <v>17</v>
      </c>
      <c r="J377">
        <v>232</v>
      </c>
      <c r="K377">
        <v>1</v>
      </c>
      <c r="L377" t="s">
        <v>36</v>
      </c>
      <c r="M377" s="2">
        <f t="shared" si="5"/>
        <v>482.72727272727269</v>
      </c>
      <c r="N3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77" s="1">
        <f>F:F/I:I</f>
        <v>2.5882352941176472</v>
      </c>
    </row>
    <row r="378" spans="1:15" x14ac:dyDescent="0.3">
      <c r="A378">
        <v>377</v>
      </c>
      <c r="B378">
        <v>51</v>
      </c>
      <c r="C378" t="s">
        <v>14</v>
      </c>
      <c r="D378" t="s">
        <v>18</v>
      </c>
      <c r="E378" t="s">
        <v>19</v>
      </c>
      <c r="F378">
        <v>65</v>
      </c>
      <c r="G378">
        <v>1.7</v>
      </c>
      <c r="H378">
        <v>490</v>
      </c>
      <c r="I378">
        <v>17</v>
      </c>
      <c r="J378">
        <v>122</v>
      </c>
      <c r="K378">
        <v>1</v>
      </c>
      <c r="L378" t="s">
        <v>38</v>
      </c>
      <c r="M378" s="2">
        <f t="shared" si="5"/>
        <v>288.23529411764707</v>
      </c>
      <c r="N3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78" s="1">
        <f>F:F/I:I</f>
        <v>3.8235294117647061</v>
      </c>
    </row>
    <row r="379" spans="1:15" x14ac:dyDescent="0.3">
      <c r="A379">
        <v>378</v>
      </c>
      <c r="B379">
        <v>31</v>
      </c>
      <c r="C379" t="s">
        <v>14</v>
      </c>
      <c r="D379" t="s">
        <v>15</v>
      </c>
      <c r="E379" t="s">
        <v>13</v>
      </c>
      <c r="F379">
        <v>458</v>
      </c>
      <c r="G379">
        <v>6</v>
      </c>
      <c r="H379">
        <v>1875</v>
      </c>
      <c r="I379">
        <v>63</v>
      </c>
      <c r="J379">
        <v>1072</v>
      </c>
      <c r="K379">
        <v>4</v>
      </c>
      <c r="L379" t="s">
        <v>40</v>
      </c>
      <c r="M379" s="2">
        <f t="shared" si="5"/>
        <v>312.5</v>
      </c>
      <c r="N3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79" s="1">
        <f>F:F/I:I</f>
        <v>7.2698412698412698</v>
      </c>
    </row>
    <row r="380" spans="1:15" x14ac:dyDescent="0.3">
      <c r="A380">
        <v>379</v>
      </c>
      <c r="B380">
        <v>57</v>
      </c>
      <c r="C380" t="s">
        <v>11</v>
      </c>
      <c r="D380" t="s">
        <v>16</v>
      </c>
      <c r="E380" t="s">
        <v>13</v>
      </c>
      <c r="F380">
        <v>525</v>
      </c>
      <c r="G380">
        <v>10.8</v>
      </c>
      <c r="H380">
        <v>2445</v>
      </c>
      <c r="I380">
        <v>99</v>
      </c>
      <c r="J380">
        <v>1623</v>
      </c>
      <c r="K380">
        <v>5</v>
      </c>
      <c r="L380" t="s">
        <v>37</v>
      </c>
      <c r="M380" s="2">
        <f t="shared" si="5"/>
        <v>226.38888888888889</v>
      </c>
      <c r="N3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80" s="1">
        <f>F:F/I:I</f>
        <v>5.3030303030303028</v>
      </c>
    </row>
    <row r="381" spans="1:15" x14ac:dyDescent="0.3">
      <c r="A381">
        <v>380</v>
      </c>
      <c r="B381">
        <v>51</v>
      </c>
      <c r="C381" t="s">
        <v>11</v>
      </c>
      <c r="D381" t="s">
        <v>17</v>
      </c>
      <c r="E381" t="s">
        <v>13</v>
      </c>
      <c r="F381">
        <v>106</v>
      </c>
      <c r="G381">
        <v>3</v>
      </c>
      <c r="H381">
        <v>922</v>
      </c>
      <c r="I381">
        <v>22</v>
      </c>
      <c r="J381">
        <v>313</v>
      </c>
      <c r="K381">
        <v>2</v>
      </c>
      <c r="L381" t="s">
        <v>38</v>
      </c>
      <c r="M381" s="2">
        <f t="shared" si="5"/>
        <v>307.33333333333331</v>
      </c>
      <c r="N3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81" s="1">
        <f>F:F/I:I</f>
        <v>4.8181818181818183</v>
      </c>
    </row>
    <row r="382" spans="1:15" x14ac:dyDescent="0.3">
      <c r="A382">
        <v>381</v>
      </c>
      <c r="B382">
        <v>34</v>
      </c>
      <c r="C382" t="s">
        <v>11</v>
      </c>
      <c r="D382" t="s">
        <v>18</v>
      </c>
      <c r="E382" t="s">
        <v>19</v>
      </c>
      <c r="F382">
        <v>188</v>
      </c>
      <c r="G382">
        <v>4.5999999999999996</v>
      </c>
      <c r="H382">
        <v>1767</v>
      </c>
      <c r="I382">
        <v>47</v>
      </c>
      <c r="J382">
        <v>653</v>
      </c>
      <c r="K382">
        <v>3</v>
      </c>
      <c r="L382" t="s">
        <v>40</v>
      </c>
      <c r="M382" s="2">
        <f t="shared" si="5"/>
        <v>384.13043478260875</v>
      </c>
      <c r="N3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82" s="1">
        <f>F:F/I:I</f>
        <v>4</v>
      </c>
    </row>
    <row r="383" spans="1:15" x14ac:dyDescent="0.3">
      <c r="A383">
        <v>382</v>
      </c>
      <c r="B383">
        <v>39</v>
      </c>
      <c r="C383" t="s">
        <v>11</v>
      </c>
      <c r="D383" t="s">
        <v>18</v>
      </c>
      <c r="E383" t="s">
        <v>19</v>
      </c>
      <c r="F383">
        <v>493</v>
      </c>
      <c r="G383">
        <v>10.4</v>
      </c>
      <c r="H383">
        <v>2453</v>
      </c>
      <c r="I383">
        <v>99</v>
      </c>
      <c r="J383">
        <v>1813</v>
      </c>
      <c r="K383">
        <v>5</v>
      </c>
      <c r="L383" t="s">
        <v>35</v>
      </c>
      <c r="M383" s="2">
        <f t="shared" si="5"/>
        <v>235.86538461538461</v>
      </c>
      <c r="N3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83" s="1">
        <f>F:F/I:I</f>
        <v>4.9797979797979801</v>
      </c>
    </row>
    <row r="384" spans="1:15" x14ac:dyDescent="0.3">
      <c r="A384">
        <v>383</v>
      </c>
      <c r="B384">
        <v>37</v>
      </c>
      <c r="C384" t="s">
        <v>14</v>
      </c>
      <c r="D384" t="s">
        <v>17</v>
      </c>
      <c r="E384" t="s">
        <v>13</v>
      </c>
      <c r="F384">
        <v>84</v>
      </c>
      <c r="G384">
        <v>1.5</v>
      </c>
      <c r="H384">
        <v>373</v>
      </c>
      <c r="I384">
        <v>19</v>
      </c>
      <c r="J384">
        <v>299</v>
      </c>
      <c r="K384">
        <v>1</v>
      </c>
      <c r="L384" t="s">
        <v>35</v>
      </c>
      <c r="M384" s="2">
        <f t="shared" si="5"/>
        <v>248.66666666666666</v>
      </c>
      <c r="N3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84" s="1">
        <f>F:F/I:I</f>
        <v>4.4210526315789478</v>
      </c>
    </row>
    <row r="385" spans="1:15" x14ac:dyDescent="0.3">
      <c r="A385">
        <v>384</v>
      </c>
      <c r="B385">
        <v>30</v>
      </c>
      <c r="C385" t="s">
        <v>11</v>
      </c>
      <c r="D385" t="s">
        <v>17</v>
      </c>
      <c r="E385" t="s">
        <v>13</v>
      </c>
      <c r="F385">
        <v>104</v>
      </c>
      <c r="G385">
        <v>2.9</v>
      </c>
      <c r="H385">
        <v>653</v>
      </c>
      <c r="I385">
        <v>35</v>
      </c>
      <c r="J385">
        <v>322</v>
      </c>
      <c r="K385">
        <v>2</v>
      </c>
      <c r="L385" t="s">
        <v>40</v>
      </c>
      <c r="M385" s="2">
        <f t="shared" si="5"/>
        <v>225.17241379310346</v>
      </c>
      <c r="N3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85" s="1">
        <f>F:F/I:I</f>
        <v>2.9714285714285715</v>
      </c>
    </row>
    <row r="386" spans="1:15" x14ac:dyDescent="0.3">
      <c r="A386">
        <v>385</v>
      </c>
      <c r="B386">
        <v>28</v>
      </c>
      <c r="C386" t="s">
        <v>11</v>
      </c>
      <c r="D386" t="s">
        <v>16</v>
      </c>
      <c r="E386" t="s">
        <v>13</v>
      </c>
      <c r="F386">
        <v>102</v>
      </c>
      <c r="G386">
        <v>3</v>
      </c>
      <c r="H386">
        <v>890</v>
      </c>
      <c r="I386">
        <v>38</v>
      </c>
      <c r="J386">
        <v>548</v>
      </c>
      <c r="K386">
        <v>2</v>
      </c>
      <c r="L386" t="s">
        <v>36</v>
      </c>
      <c r="M386" s="2">
        <f t="shared" ref="M386:M449" si="6">H:H/G:G</f>
        <v>296.66666666666669</v>
      </c>
      <c r="N3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86" s="1">
        <f>F:F/I:I</f>
        <v>2.6842105263157894</v>
      </c>
    </row>
    <row r="387" spans="1:15" x14ac:dyDescent="0.3">
      <c r="A387">
        <v>386</v>
      </c>
      <c r="B387">
        <v>40</v>
      </c>
      <c r="C387" t="s">
        <v>14</v>
      </c>
      <c r="D387" t="s">
        <v>18</v>
      </c>
      <c r="E387" t="s">
        <v>19</v>
      </c>
      <c r="F387">
        <v>349</v>
      </c>
      <c r="G387">
        <v>6.6</v>
      </c>
      <c r="H387">
        <v>2041</v>
      </c>
      <c r="I387">
        <v>78</v>
      </c>
      <c r="J387">
        <v>1096</v>
      </c>
      <c r="K387">
        <v>4</v>
      </c>
      <c r="L387" t="s">
        <v>34</v>
      </c>
      <c r="M387" s="2">
        <f t="shared" si="6"/>
        <v>309.24242424242425</v>
      </c>
      <c r="N3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387" s="1">
        <f>F:F/I:I</f>
        <v>4.4743589743589745</v>
      </c>
    </row>
    <row r="388" spans="1:15" x14ac:dyDescent="0.3">
      <c r="A388">
        <v>387</v>
      </c>
      <c r="B388">
        <v>28</v>
      </c>
      <c r="C388" t="s">
        <v>11</v>
      </c>
      <c r="D388" t="s">
        <v>17</v>
      </c>
      <c r="E388" t="s">
        <v>13</v>
      </c>
      <c r="F388">
        <v>98</v>
      </c>
      <c r="G388">
        <v>2</v>
      </c>
      <c r="H388">
        <v>925</v>
      </c>
      <c r="I388">
        <v>32</v>
      </c>
      <c r="J388">
        <v>457</v>
      </c>
      <c r="K388">
        <v>2</v>
      </c>
      <c r="L388" t="s">
        <v>36</v>
      </c>
      <c r="M388" s="2">
        <f t="shared" si="6"/>
        <v>462.5</v>
      </c>
      <c r="N3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88" s="1">
        <f>F:F/I:I</f>
        <v>3.0625</v>
      </c>
    </row>
    <row r="389" spans="1:15" x14ac:dyDescent="0.3">
      <c r="A389">
        <v>388</v>
      </c>
      <c r="B389">
        <v>32</v>
      </c>
      <c r="C389" t="s">
        <v>11</v>
      </c>
      <c r="D389" t="s">
        <v>16</v>
      </c>
      <c r="E389" t="s">
        <v>13</v>
      </c>
      <c r="F389">
        <v>72</v>
      </c>
      <c r="G389">
        <v>1.3</v>
      </c>
      <c r="H389">
        <v>461</v>
      </c>
      <c r="I389">
        <v>13</v>
      </c>
      <c r="J389">
        <v>199</v>
      </c>
      <c r="K389">
        <v>1</v>
      </c>
      <c r="L389" t="s">
        <v>40</v>
      </c>
      <c r="M389" s="2">
        <f t="shared" si="6"/>
        <v>354.61538461538458</v>
      </c>
      <c r="N3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89" s="1">
        <f>F:F/I:I</f>
        <v>5.5384615384615383</v>
      </c>
    </row>
    <row r="390" spans="1:15" x14ac:dyDescent="0.3">
      <c r="A390">
        <v>389</v>
      </c>
      <c r="B390">
        <v>34</v>
      </c>
      <c r="C390" t="s">
        <v>14</v>
      </c>
      <c r="D390" t="s">
        <v>12</v>
      </c>
      <c r="E390" t="s">
        <v>13</v>
      </c>
      <c r="F390">
        <v>563</v>
      </c>
      <c r="G390">
        <v>11.6</v>
      </c>
      <c r="H390">
        <v>2968</v>
      </c>
      <c r="I390">
        <v>92</v>
      </c>
      <c r="J390">
        <v>2191</v>
      </c>
      <c r="K390">
        <v>5</v>
      </c>
      <c r="L390" t="s">
        <v>40</v>
      </c>
      <c r="M390" s="2">
        <f t="shared" si="6"/>
        <v>255.86206896551724</v>
      </c>
      <c r="N3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390" s="1">
        <f>F:F/I:I</f>
        <v>6.1195652173913047</v>
      </c>
    </row>
    <row r="391" spans="1:15" x14ac:dyDescent="0.3">
      <c r="A391">
        <v>390</v>
      </c>
      <c r="B391">
        <v>50</v>
      </c>
      <c r="C391" t="s">
        <v>14</v>
      </c>
      <c r="D391" t="s">
        <v>12</v>
      </c>
      <c r="E391" t="s">
        <v>13</v>
      </c>
      <c r="F391">
        <v>119</v>
      </c>
      <c r="G391">
        <v>2.8</v>
      </c>
      <c r="H391">
        <v>775</v>
      </c>
      <c r="I391">
        <v>31</v>
      </c>
      <c r="J391">
        <v>313</v>
      </c>
      <c r="K391">
        <v>2</v>
      </c>
      <c r="L391" t="s">
        <v>38</v>
      </c>
      <c r="M391" s="2">
        <f t="shared" si="6"/>
        <v>276.78571428571428</v>
      </c>
      <c r="N3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91" s="1">
        <f>F:F/I:I</f>
        <v>3.838709677419355</v>
      </c>
    </row>
    <row r="392" spans="1:15" x14ac:dyDescent="0.3">
      <c r="A392">
        <v>391</v>
      </c>
      <c r="B392">
        <v>36</v>
      </c>
      <c r="C392" t="s">
        <v>11</v>
      </c>
      <c r="D392" t="s">
        <v>17</v>
      </c>
      <c r="E392" t="s">
        <v>13</v>
      </c>
      <c r="F392">
        <v>311</v>
      </c>
      <c r="G392">
        <v>7.9</v>
      </c>
      <c r="H392">
        <v>2231</v>
      </c>
      <c r="I392">
        <v>69</v>
      </c>
      <c r="J392">
        <v>1021</v>
      </c>
      <c r="K392">
        <v>4</v>
      </c>
      <c r="L392" t="s">
        <v>35</v>
      </c>
      <c r="M392" s="2">
        <f t="shared" si="6"/>
        <v>282.40506329113924</v>
      </c>
      <c r="N3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392" s="1">
        <f>F:F/I:I</f>
        <v>4.5072463768115938</v>
      </c>
    </row>
    <row r="393" spans="1:15" x14ac:dyDescent="0.3">
      <c r="A393">
        <v>392</v>
      </c>
      <c r="B393">
        <v>58</v>
      </c>
      <c r="C393" t="s">
        <v>11</v>
      </c>
      <c r="D393" t="s">
        <v>17</v>
      </c>
      <c r="E393" t="s">
        <v>13</v>
      </c>
      <c r="F393">
        <v>337</v>
      </c>
      <c r="G393">
        <v>6.1</v>
      </c>
      <c r="H393">
        <v>1901</v>
      </c>
      <c r="I393">
        <v>76</v>
      </c>
      <c r="J393">
        <v>1359</v>
      </c>
      <c r="K393">
        <v>4</v>
      </c>
      <c r="L393" t="s">
        <v>37</v>
      </c>
      <c r="M393" s="2">
        <f t="shared" si="6"/>
        <v>311.63934426229508</v>
      </c>
      <c r="N3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393" s="1">
        <f>F:F/I:I</f>
        <v>4.4342105263157894</v>
      </c>
    </row>
    <row r="394" spans="1:15" x14ac:dyDescent="0.3">
      <c r="A394">
        <v>393</v>
      </c>
      <c r="B394">
        <v>54</v>
      </c>
      <c r="C394" t="s">
        <v>11</v>
      </c>
      <c r="D394" t="s">
        <v>16</v>
      </c>
      <c r="E394" t="s">
        <v>13</v>
      </c>
      <c r="F394">
        <v>168</v>
      </c>
      <c r="G394">
        <v>3.5</v>
      </c>
      <c r="H394">
        <v>1055</v>
      </c>
      <c r="I394">
        <v>29</v>
      </c>
      <c r="J394">
        <v>313</v>
      </c>
      <c r="K394">
        <v>2</v>
      </c>
      <c r="L394" t="s">
        <v>38</v>
      </c>
      <c r="M394" s="2">
        <f t="shared" si="6"/>
        <v>301.42857142857144</v>
      </c>
      <c r="N3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94" s="1">
        <f>F:F/I:I</f>
        <v>5.7931034482758621</v>
      </c>
    </row>
    <row r="395" spans="1:15" x14ac:dyDescent="0.3">
      <c r="A395">
        <v>394</v>
      </c>
      <c r="B395">
        <v>53</v>
      </c>
      <c r="C395" t="s">
        <v>11</v>
      </c>
      <c r="D395" t="s">
        <v>18</v>
      </c>
      <c r="E395" t="s">
        <v>19</v>
      </c>
      <c r="F395">
        <v>331</v>
      </c>
      <c r="G395">
        <v>7.4</v>
      </c>
      <c r="H395">
        <v>2129</v>
      </c>
      <c r="I395">
        <v>66</v>
      </c>
      <c r="J395">
        <v>1459</v>
      </c>
      <c r="K395">
        <v>4</v>
      </c>
      <c r="L395" t="s">
        <v>38</v>
      </c>
      <c r="M395" s="2">
        <f t="shared" si="6"/>
        <v>287.70270270270271</v>
      </c>
      <c r="N3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95" s="1">
        <f>F:F/I:I</f>
        <v>5.0151515151515156</v>
      </c>
    </row>
    <row r="396" spans="1:15" x14ac:dyDescent="0.3">
      <c r="A396">
        <v>395</v>
      </c>
      <c r="B396">
        <v>45</v>
      </c>
      <c r="C396" t="s">
        <v>14</v>
      </c>
      <c r="D396" t="s">
        <v>15</v>
      </c>
      <c r="E396" t="s">
        <v>13</v>
      </c>
      <c r="F396">
        <v>589</v>
      </c>
      <c r="G396">
        <v>9.1999999999999993</v>
      </c>
      <c r="H396">
        <v>2663</v>
      </c>
      <c r="I396">
        <v>84</v>
      </c>
      <c r="J396">
        <v>1774</v>
      </c>
      <c r="K396">
        <v>5</v>
      </c>
      <c r="L396" t="s">
        <v>41</v>
      </c>
      <c r="M396" s="2">
        <f t="shared" si="6"/>
        <v>289.45652173913044</v>
      </c>
      <c r="N3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396" s="1">
        <f>F:F/I:I</f>
        <v>7.0119047619047619</v>
      </c>
    </row>
    <row r="397" spans="1:15" x14ac:dyDescent="0.3">
      <c r="A397">
        <v>396</v>
      </c>
      <c r="B397">
        <v>52</v>
      </c>
      <c r="C397" t="s">
        <v>11</v>
      </c>
      <c r="D397" t="s">
        <v>12</v>
      </c>
      <c r="E397" t="s">
        <v>13</v>
      </c>
      <c r="F397">
        <v>472</v>
      </c>
      <c r="G397">
        <v>6.8</v>
      </c>
      <c r="H397">
        <v>2288</v>
      </c>
      <c r="I397">
        <v>61</v>
      </c>
      <c r="J397">
        <v>1356</v>
      </c>
      <c r="K397">
        <v>4</v>
      </c>
      <c r="L397" t="s">
        <v>38</v>
      </c>
      <c r="M397" s="2">
        <f t="shared" si="6"/>
        <v>336.47058823529414</v>
      </c>
      <c r="N3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397" s="1">
        <f>F:F/I:I</f>
        <v>7.7377049180327866</v>
      </c>
    </row>
    <row r="398" spans="1:15" x14ac:dyDescent="0.3">
      <c r="A398">
        <v>397</v>
      </c>
      <c r="B398">
        <v>27</v>
      </c>
      <c r="C398" t="s">
        <v>14</v>
      </c>
      <c r="D398" t="s">
        <v>12</v>
      </c>
      <c r="E398" t="s">
        <v>13</v>
      </c>
      <c r="F398">
        <v>78</v>
      </c>
      <c r="G398">
        <v>1.1000000000000001</v>
      </c>
      <c r="H398">
        <v>437</v>
      </c>
      <c r="I398">
        <v>14</v>
      </c>
      <c r="J398">
        <v>143</v>
      </c>
      <c r="K398">
        <v>1</v>
      </c>
      <c r="L398" t="s">
        <v>36</v>
      </c>
      <c r="M398" s="2">
        <f t="shared" si="6"/>
        <v>397.27272727272725</v>
      </c>
      <c r="N3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398" s="1">
        <f>F:F/I:I</f>
        <v>5.5714285714285712</v>
      </c>
    </row>
    <row r="399" spans="1:15" x14ac:dyDescent="0.3">
      <c r="A399">
        <v>398</v>
      </c>
      <c r="B399">
        <v>20</v>
      </c>
      <c r="C399" t="s">
        <v>11</v>
      </c>
      <c r="D399" t="s">
        <v>18</v>
      </c>
      <c r="E399" t="s">
        <v>19</v>
      </c>
      <c r="F399">
        <v>517</v>
      </c>
      <c r="G399">
        <v>11.6</v>
      </c>
      <c r="H399">
        <v>2798</v>
      </c>
      <c r="I399">
        <v>90</v>
      </c>
      <c r="J399">
        <v>2175</v>
      </c>
      <c r="K399">
        <v>5</v>
      </c>
      <c r="L399" t="s">
        <v>39</v>
      </c>
      <c r="M399" s="2">
        <f t="shared" si="6"/>
        <v>241.20689655172416</v>
      </c>
      <c r="N3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399" s="1">
        <f>F:F/I:I</f>
        <v>5.7444444444444445</v>
      </c>
    </row>
    <row r="400" spans="1:15" x14ac:dyDescent="0.3">
      <c r="A400">
        <v>399</v>
      </c>
      <c r="B400">
        <v>43</v>
      </c>
      <c r="C400" t="s">
        <v>14</v>
      </c>
      <c r="D400" t="s">
        <v>17</v>
      </c>
      <c r="E400" t="s">
        <v>13</v>
      </c>
      <c r="F400">
        <v>41</v>
      </c>
      <c r="G400">
        <v>1.6</v>
      </c>
      <c r="H400">
        <v>323</v>
      </c>
      <c r="I400">
        <v>18</v>
      </c>
      <c r="J400">
        <v>221</v>
      </c>
      <c r="K400">
        <v>1</v>
      </c>
      <c r="L400" t="s">
        <v>34</v>
      </c>
      <c r="M400" s="2">
        <f t="shared" si="6"/>
        <v>201.875</v>
      </c>
      <c r="N4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00" s="1">
        <f>F:F/I:I</f>
        <v>2.2777777777777777</v>
      </c>
    </row>
    <row r="401" spans="1:15" x14ac:dyDescent="0.3">
      <c r="A401">
        <v>400</v>
      </c>
      <c r="B401">
        <v>29</v>
      </c>
      <c r="C401" t="s">
        <v>11</v>
      </c>
      <c r="D401" t="s">
        <v>17</v>
      </c>
      <c r="E401" t="s">
        <v>13</v>
      </c>
      <c r="F401">
        <v>49</v>
      </c>
      <c r="G401">
        <v>1.5</v>
      </c>
      <c r="H401">
        <v>571</v>
      </c>
      <c r="I401">
        <v>10</v>
      </c>
      <c r="J401">
        <v>203</v>
      </c>
      <c r="K401">
        <v>1</v>
      </c>
      <c r="L401" t="s">
        <v>36</v>
      </c>
      <c r="M401" s="2">
        <f t="shared" si="6"/>
        <v>380.66666666666669</v>
      </c>
      <c r="N4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01" s="1">
        <f>F:F/I:I</f>
        <v>4.9000000000000004</v>
      </c>
    </row>
    <row r="402" spans="1:15" x14ac:dyDescent="0.3">
      <c r="A402">
        <v>401</v>
      </c>
      <c r="B402">
        <v>42</v>
      </c>
      <c r="C402" t="s">
        <v>11</v>
      </c>
      <c r="D402" t="s">
        <v>12</v>
      </c>
      <c r="E402" t="s">
        <v>13</v>
      </c>
      <c r="F402">
        <v>522</v>
      </c>
      <c r="G402">
        <v>11.1</v>
      </c>
      <c r="H402">
        <v>2821</v>
      </c>
      <c r="I402">
        <v>86</v>
      </c>
      <c r="J402">
        <v>1891</v>
      </c>
      <c r="K402">
        <v>5</v>
      </c>
      <c r="L402" t="s">
        <v>34</v>
      </c>
      <c r="M402" s="2">
        <f t="shared" si="6"/>
        <v>254.14414414414415</v>
      </c>
      <c r="N4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02" s="1">
        <f>F:F/I:I</f>
        <v>6.0697674418604652</v>
      </c>
    </row>
    <row r="403" spans="1:15" x14ac:dyDescent="0.3">
      <c r="A403">
        <v>402</v>
      </c>
      <c r="B403">
        <v>53</v>
      </c>
      <c r="C403" t="s">
        <v>11</v>
      </c>
      <c r="D403" t="s">
        <v>15</v>
      </c>
      <c r="E403" t="s">
        <v>13</v>
      </c>
      <c r="F403">
        <v>97</v>
      </c>
      <c r="G403">
        <v>2.7</v>
      </c>
      <c r="H403">
        <v>612</v>
      </c>
      <c r="I403">
        <v>36</v>
      </c>
      <c r="J403">
        <v>508</v>
      </c>
      <c r="K403">
        <v>2</v>
      </c>
      <c r="L403" t="s">
        <v>38</v>
      </c>
      <c r="M403" s="2">
        <f t="shared" si="6"/>
        <v>226.66666666666666</v>
      </c>
      <c r="N4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03" s="1">
        <f>F:F/I:I</f>
        <v>2.6944444444444446</v>
      </c>
    </row>
    <row r="404" spans="1:15" x14ac:dyDescent="0.3">
      <c r="A404">
        <v>403</v>
      </c>
      <c r="B404">
        <v>40</v>
      </c>
      <c r="C404" t="s">
        <v>11</v>
      </c>
      <c r="D404" t="s">
        <v>18</v>
      </c>
      <c r="E404" t="s">
        <v>19</v>
      </c>
      <c r="F404">
        <v>411</v>
      </c>
      <c r="G404">
        <v>7.4</v>
      </c>
      <c r="H404">
        <v>1960</v>
      </c>
      <c r="I404">
        <v>71</v>
      </c>
      <c r="J404">
        <v>1264</v>
      </c>
      <c r="K404">
        <v>4</v>
      </c>
      <c r="L404" t="s">
        <v>34</v>
      </c>
      <c r="M404" s="2">
        <f t="shared" si="6"/>
        <v>264.86486486486484</v>
      </c>
      <c r="N4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04" s="1">
        <f>F:F/I:I</f>
        <v>5.788732394366197</v>
      </c>
    </row>
    <row r="405" spans="1:15" x14ac:dyDescent="0.3">
      <c r="A405">
        <v>404</v>
      </c>
      <c r="B405">
        <v>51</v>
      </c>
      <c r="C405" t="s">
        <v>14</v>
      </c>
      <c r="D405" t="s">
        <v>16</v>
      </c>
      <c r="E405" t="s">
        <v>13</v>
      </c>
      <c r="F405">
        <v>566</v>
      </c>
      <c r="G405">
        <v>8.6</v>
      </c>
      <c r="H405">
        <v>2595</v>
      </c>
      <c r="I405">
        <v>89</v>
      </c>
      <c r="J405">
        <v>1657</v>
      </c>
      <c r="K405">
        <v>5</v>
      </c>
      <c r="L405" t="s">
        <v>38</v>
      </c>
      <c r="M405" s="2">
        <f t="shared" si="6"/>
        <v>301.74418604651163</v>
      </c>
      <c r="N4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05" s="1">
        <f>F:F/I:I</f>
        <v>6.3595505617977528</v>
      </c>
    </row>
    <row r="406" spans="1:15" x14ac:dyDescent="0.3">
      <c r="A406">
        <v>405</v>
      </c>
      <c r="B406">
        <v>22</v>
      </c>
      <c r="C406" t="s">
        <v>14</v>
      </c>
      <c r="D406" t="s">
        <v>18</v>
      </c>
      <c r="E406" t="s">
        <v>19</v>
      </c>
      <c r="F406">
        <v>559</v>
      </c>
      <c r="G406">
        <v>8.1999999999999993</v>
      </c>
      <c r="H406">
        <v>2618</v>
      </c>
      <c r="I406">
        <v>84</v>
      </c>
      <c r="J406">
        <v>2102</v>
      </c>
      <c r="K406">
        <v>5</v>
      </c>
      <c r="L406" t="s">
        <v>39</v>
      </c>
      <c r="M406" s="2">
        <f t="shared" si="6"/>
        <v>319.26829268292687</v>
      </c>
      <c r="N4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06" s="1">
        <f>F:F/I:I</f>
        <v>6.6547619047619051</v>
      </c>
    </row>
    <row r="407" spans="1:15" x14ac:dyDescent="0.3">
      <c r="A407">
        <v>406</v>
      </c>
      <c r="B407">
        <v>43</v>
      </c>
      <c r="C407" t="s">
        <v>14</v>
      </c>
      <c r="D407" t="s">
        <v>15</v>
      </c>
      <c r="E407" t="s">
        <v>13</v>
      </c>
      <c r="F407">
        <v>478</v>
      </c>
      <c r="G407">
        <v>7.3</v>
      </c>
      <c r="H407">
        <v>2340</v>
      </c>
      <c r="I407">
        <v>69</v>
      </c>
      <c r="J407">
        <v>1017</v>
      </c>
      <c r="K407">
        <v>4</v>
      </c>
      <c r="L407" t="s">
        <v>34</v>
      </c>
      <c r="M407" s="2">
        <f t="shared" si="6"/>
        <v>320.54794520547944</v>
      </c>
      <c r="N4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07" s="1">
        <f>F:F/I:I</f>
        <v>6.9275362318840576</v>
      </c>
    </row>
    <row r="408" spans="1:15" x14ac:dyDescent="0.3">
      <c r="A408">
        <v>407</v>
      </c>
      <c r="B408">
        <v>25</v>
      </c>
      <c r="C408" t="s">
        <v>14</v>
      </c>
      <c r="D408" t="s">
        <v>12</v>
      </c>
      <c r="E408" t="s">
        <v>13</v>
      </c>
      <c r="F408">
        <v>147</v>
      </c>
      <c r="G408">
        <v>3.2</v>
      </c>
      <c r="H408">
        <v>994</v>
      </c>
      <c r="I408">
        <v>33</v>
      </c>
      <c r="J408">
        <v>567</v>
      </c>
      <c r="K408">
        <v>2</v>
      </c>
      <c r="L408" t="s">
        <v>36</v>
      </c>
      <c r="M408" s="2">
        <f t="shared" si="6"/>
        <v>310.625</v>
      </c>
      <c r="N4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08" s="1">
        <f>F:F/I:I</f>
        <v>4.4545454545454541</v>
      </c>
    </row>
    <row r="409" spans="1:15" x14ac:dyDescent="0.3">
      <c r="A409">
        <v>408</v>
      </c>
      <c r="B409">
        <v>55</v>
      </c>
      <c r="C409" t="s">
        <v>14</v>
      </c>
      <c r="D409" t="s">
        <v>17</v>
      </c>
      <c r="E409" t="s">
        <v>13</v>
      </c>
      <c r="F409">
        <v>395</v>
      </c>
      <c r="G409">
        <v>7.3</v>
      </c>
      <c r="H409">
        <v>2291</v>
      </c>
      <c r="I409">
        <v>61</v>
      </c>
      <c r="J409">
        <v>1049</v>
      </c>
      <c r="K409">
        <v>4</v>
      </c>
      <c r="L409" t="s">
        <v>37</v>
      </c>
      <c r="M409" s="2">
        <f t="shared" si="6"/>
        <v>313.83561643835617</v>
      </c>
      <c r="N4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09" s="1">
        <f>F:F/I:I</f>
        <v>6.4754098360655741</v>
      </c>
    </row>
    <row r="410" spans="1:15" x14ac:dyDescent="0.3">
      <c r="A410">
        <v>409</v>
      </c>
      <c r="B410">
        <v>22</v>
      </c>
      <c r="C410" t="s">
        <v>14</v>
      </c>
      <c r="D410" t="s">
        <v>16</v>
      </c>
      <c r="E410" t="s">
        <v>13</v>
      </c>
      <c r="F410">
        <v>357</v>
      </c>
      <c r="G410">
        <v>7.8</v>
      </c>
      <c r="H410">
        <v>2289</v>
      </c>
      <c r="I410">
        <v>74</v>
      </c>
      <c r="J410">
        <v>1242</v>
      </c>
      <c r="K410">
        <v>4</v>
      </c>
      <c r="L410" t="s">
        <v>39</v>
      </c>
      <c r="M410" s="2">
        <f t="shared" si="6"/>
        <v>293.46153846153845</v>
      </c>
      <c r="N4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10" s="1">
        <f>F:F/I:I</f>
        <v>4.8243243243243246</v>
      </c>
    </row>
    <row r="411" spans="1:15" x14ac:dyDescent="0.3">
      <c r="A411">
        <v>410</v>
      </c>
      <c r="B411">
        <v>51</v>
      </c>
      <c r="C411" t="s">
        <v>11</v>
      </c>
      <c r="D411" t="s">
        <v>15</v>
      </c>
      <c r="E411" t="s">
        <v>13</v>
      </c>
      <c r="F411">
        <v>405</v>
      </c>
      <c r="G411">
        <v>6.9</v>
      </c>
      <c r="H411">
        <v>2366</v>
      </c>
      <c r="I411">
        <v>61</v>
      </c>
      <c r="J411">
        <v>1434</v>
      </c>
      <c r="K411">
        <v>4</v>
      </c>
      <c r="L411" t="s">
        <v>38</v>
      </c>
      <c r="M411" s="2">
        <f t="shared" si="6"/>
        <v>342.89855072463769</v>
      </c>
      <c r="N4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11" s="1">
        <f>F:F/I:I</f>
        <v>6.639344262295082</v>
      </c>
    </row>
    <row r="412" spans="1:15" x14ac:dyDescent="0.3">
      <c r="A412">
        <v>411</v>
      </c>
      <c r="B412">
        <v>31</v>
      </c>
      <c r="C412" t="s">
        <v>14</v>
      </c>
      <c r="D412" t="s">
        <v>16</v>
      </c>
      <c r="E412" t="s">
        <v>13</v>
      </c>
      <c r="F412">
        <v>501</v>
      </c>
      <c r="G412">
        <v>11.8</v>
      </c>
      <c r="H412">
        <v>2790</v>
      </c>
      <c r="I412">
        <v>86</v>
      </c>
      <c r="J412">
        <v>2074</v>
      </c>
      <c r="K412">
        <v>5</v>
      </c>
      <c r="L412" t="s">
        <v>40</v>
      </c>
      <c r="M412" s="2">
        <f t="shared" si="6"/>
        <v>236.44067796610167</v>
      </c>
      <c r="N4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12" s="1">
        <f>F:F/I:I</f>
        <v>5.8255813953488369</v>
      </c>
    </row>
    <row r="413" spans="1:15" x14ac:dyDescent="0.3">
      <c r="A413">
        <v>412</v>
      </c>
      <c r="B413">
        <v>50</v>
      </c>
      <c r="C413" t="s">
        <v>11</v>
      </c>
      <c r="D413" t="s">
        <v>12</v>
      </c>
      <c r="E413" t="s">
        <v>13</v>
      </c>
      <c r="F413">
        <v>575</v>
      </c>
      <c r="G413">
        <v>8.1999999999999993</v>
      </c>
      <c r="H413">
        <v>2918</v>
      </c>
      <c r="I413">
        <v>88</v>
      </c>
      <c r="J413">
        <v>1928</v>
      </c>
      <c r="K413">
        <v>5</v>
      </c>
      <c r="L413" t="s">
        <v>38</v>
      </c>
      <c r="M413" s="2">
        <f t="shared" si="6"/>
        <v>355.85365853658539</v>
      </c>
      <c r="N4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13" s="1">
        <f>F:F/I:I</f>
        <v>6.5340909090909092</v>
      </c>
    </row>
    <row r="414" spans="1:15" x14ac:dyDescent="0.3">
      <c r="A414">
        <v>413</v>
      </c>
      <c r="B414">
        <v>52</v>
      </c>
      <c r="C414" t="s">
        <v>14</v>
      </c>
      <c r="D414" t="s">
        <v>17</v>
      </c>
      <c r="E414" t="s">
        <v>13</v>
      </c>
      <c r="F414">
        <v>257</v>
      </c>
      <c r="G414">
        <v>5.0999999999999996</v>
      </c>
      <c r="H414">
        <v>1692</v>
      </c>
      <c r="I414">
        <v>46</v>
      </c>
      <c r="J414">
        <v>769</v>
      </c>
      <c r="K414">
        <v>3</v>
      </c>
      <c r="L414" t="s">
        <v>38</v>
      </c>
      <c r="M414" s="2">
        <f t="shared" si="6"/>
        <v>331.76470588235298</v>
      </c>
      <c r="N4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14" s="1">
        <f>F:F/I:I</f>
        <v>5.5869565217391308</v>
      </c>
    </row>
    <row r="415" spans="1:15" x14ac:dyDescent="0.3">
      <c r="A415">
        <v>414</v>
      </c>
      <c r="B415">
        <v>35</v>
      </c>
      <c r="C415" t="s">
        <v>11</v>
      </c>
      <c r="D415" t="s">
        <v>18</v>
      </c>
      <c r="E415" t="s">
        <v>19</v>
      </c>
      <c r="F415">
        <v>270</v>
      </c>
      <c r="G415">
        <v>5</v>
      </c>
      <c r="H415">
        <v>1532</v>
      </c>
      <c r="I415">
        <v>51</v>
      </c>
      <c r="J415">
        <v>957</v>
      </c>
      <c r="K415">
        <v>3</v>
      </c>
      <c r="L415" t="s">
        <v>35</v>
      </c>
      <c r="M415" s="2">
        <f t="shared" si="6"/>
        <v>306.39999999999998</v>
      </c>
      <c r="N4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15" s="1">
        <f>F:F/I:I</f>
        <v>5.2941176470588234</v>
      </c>
    </row>
    <row r="416" spans="1:15" x14ac:dyDescent="0.3">
      <c r="A416">
        <v>415</v>
      </c>
      <c r="B416">
        <v>33</v>
      </c>
      <c r="C416" t="s">
        <v>14</v>
      </c>
      <c r="D416" t="s">
        <v>15</v>
      </c>
      <c r="E416" t="s">
        <v>13</v>
      </c>
      <c r="F416">
        <v>116</v>
      </c>
      <c r="G416">
        <v>2</v>
      </c>
      <c r="H416">
        <v>1171</v>
      </c>
      <c r="I416">
        <v>22</v>
      </c>
      <c r="J416">
        <v>573</v>
      </c>
      <c r="K416">
        <v>2</v>
      </c>
      <c r="L416" t="s">
        <v>40</v>
      </c>
      <c r="M416" s="2">
        <f t="shared" si="6"/>
        <v>585.5</v>
      </c>
      <c r="N4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16" s="1">
        <f>F:F/I:I</f>
        <v>5.2727272727272725</v>
      </c>
    </row>
    <row r="417" spans="1:15" x14ac:dyDescent="0.3">
      <c r="A417">
        <v>416</v>
      </c>
      <c r="B417">
        <v>56</v>
      </c>
      <c r="C417" t="s">
        <v>11</v>
      </c>
      <c r="D417" t="s">
        <v>18</v>
      </c>
      <c r="E417" t="s">
        <v>19</v>
      </c>
      <c r="F417">
        <v>98</v>
      </c>
      <c r="G417">
        <v>2.2999999999999998</v>
      </c>
      <c r="H417">
        <v>608</v>
      </c>
      <c r="I417">
        <v>24</v>
      </c>
      <c r="J417">
        <v>394</v>
      </c>
      <c r="K417">
        <v>2</v>
      </c>
      <c r="L417" t="s">
        <v>37</v>
      </c>
      <c r="M417" s="2">
        <f t="shared" si="6"/>
        <v>264.34782608695656</v>
      </c>
      <c r="N4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17" s="1">
        <f>F:F/I:I</f>
        <v>4.083333333333333</v>
      </c>
    </row>
    <row r="418" spans="1:15" x14ac:dyDescent="0.3">
      <c r="A418">
        <v>417</v>
      </c>
      <c r="B418">
        <v>27</v>
      </c>
      <c r="C418" t="s">
        <v>14</v>
      </c>
      <c r="D418" t="s">
        <v>12</v>
      </c>
      <c r="E418" t="s">
        <v>13</v>
      </c>
      <c r="F418">
        <v>264</v>
      </c>
      <c r="G418">
        <v>5.0999999999999996</v>
      </c>
      <c r="H418">
        <v>1293</v>
      </c>
      <c r="I418">
        <v>52</v>
      </c>
      <c r="J418">
        <v>737</v>
      </c>
      <c r="K418">
        <v>3</v>
      </c>
      <c r="L418" t="s">
        <v>36</v>
      </c>
      <c r="M418" s="2">
        <f t="shared" si="6"/>
        <v>253.52941176470591</v>
      </c>
      <c r="N4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18" s="1">
        <f>F:F/I:I</f>
        <v>5.0769230769230766</v>
      </c>
    </row>
    <row r="419" spans="1:15" x14ac:dyDescent="0.3">
      <c r="A419">
        <v>418</v>
      </c>
      <c r="B419">
        <v>57</v>
      </c>
      <c r="C419" t="s">
        <v>14</v>
      </c>
      <c r="D419" t="s">
        <v>16</v>
      </c>
      <c r="E419" t="s">
        <v>13</v>
      </c>
      <c r="F419">
        <v>572</v>
      </c>
      <c r="G419">
        <v>11.7</v>
      </c>
      <c r="H419">
        <v>2655</v>
      </c>
      <c r="I419">
        <v>91</v>
      </c>
      <c r="J419">
        <v>2481</v>
      </c>
      <c r="K419">
        <v>5</v>
      </c>
      <c r="L419" t="s">
        <v>37</v>
      </c>
      <c r="M419" s="2">
        <f t="shared" si="6"/>
        <v>226.92307692307693</v>
      </c>
      <c r="N4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19" s="1">
        <f>F:F/I:I</f>
        <v>6.2857142857142856</v>
      </c>
    </row>
    <row r="420" spans="1:15" x14ac:dyDescent="0.3">
      <c r="A420">
        <v>419</v>
      </c>
      <c r="B420">
        <v>27</v>
      </c>
      <c r="C420" t="s">
        <v>14</v>
      </c>
      <c r="D420" t="s">
        <v>12</v>
      </c>
      <c r="E420" t="s">
        <v>13</v>
      </c>
      <c r="F420">
        <v>202</v>
      </c>
      <c r="G420">
        <v>4.9000000000000004</v>
      </c>
      <c r="H420">
        <v>1549</v>
      </c>
      <c r="I420">
        <v>43</v>
      </c>
      <c r="J420">
        <v>964</v>
      </c>
      <c r="K420">
        <v>3</v>
      </c>
      <c r="L420" t="s">
        <v>36</v>
      </c>
      <c r="M420" s="2">
        <f t="shared" si="6"/>
        <v>316.12244897959181</v>
      </c>
      <c r="N4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20" s="1">
        <f>F:F/I:I</f>
        <v>4.6976744186046515</v>
      </c>
    </row>
    <row r="421" spans="1:15" x14ac:dyDescent="0.3">
      <c r="A421">
        <v>420</v>
      </c>
      <c r="B421">
        <v>46</v>
      </c>
      <c r="C421" t="s">
        <v>11</v>
      </c>
      <c r="D421" t="s">
        <v>18</v>
      </c>
      <c r="E421" t="s">
        <v>19</v>
      </c>
      <c r="F421">
        <v>83</v>
      </c>
      <c r="G421">
        <v>1.4</v>
      </c>
      <c r="H421">
        <v>454</v>
      </c>
      <c r="I421">
        <v>11</v>
      </c>
      <c r="J421">
        <v>228</v>
      </c>
      <c r="K421">
        <v>1</v>
      </c>
      <c r="L421" t="s">
        <v>41</v>
      </c>
      <c r="M421" s="2">
        <f t="shared" si="6"/>
        <v>324.28571428571433</v>
      </c>
      <c r="N4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21" s="1">
        <f>F:F/I:I</f>
        <v>7.5454545454545459</v>
      </c>
    </row>
    <row r="422" spans="1:15" x14ac:dyDescent="0.3">
      <c r="A422">
        <v>421</v>
      </c>
      <c r="B422">
        <v>56</v>
      </c>
      <c r="C422" t="s">
        <v>11</v>
      </c>
      <c r="D422" t="s">
        <v>18</v>
      </c>
      <c r="E422" t="s">
        <v>19</v>
      </c>
      <c r="F422">
        <v>32</v>
      </c>
      <c r="G422">
        <v>1.4</v>
      </c>
      <c r="H422">
        <v>416</v>
      </c>
      <c r="I422">
        <v>12</v>
      </c>
      <c r="J422">
        <v>198</v>
      </c>
      <c r="K422">
        <v>1</v>
      </c>
      <c r="L422" t="s">
        <v>37</v>
      </c>
      <c r="M422" s="2">
        <f t="shared" si="6"/>
        <v>297.14285714285717</v>
      </c>
      <c r="N4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22" s="1">
        <f>F:F/I:I</f>
        <v>2.6666666666666665</v>
      </c>
    </row>
    <row r="423" spans="1:15" x14ac:dyDescent="0.3">
      <c r="A423">
        <v>422</v>
      </c>
      <c r="B423">
        <v>43</v>
      </c>
      <c r="C423" t="s">
        <v>11</v>
      </c>
      <c r="D423" t="s">
        <v>18</v>
      </c>
      <c r="E423" t="s">
        <v>19</v>
      </c>
      <c r="F423">
        <v>168</v>
      </c>
      <c r="G423">
        <v>3.2</v>
      </c>
      <c r="H423">
        <v>716</v>
      </c>
      <c r="I423">
        <v>38</v>
      </c>
      <c r="J423">
        <v>414</v>
      </c>
      <c r="K423">
        <v>2</v>
      </c>
      <c r="L423" t="s">
        <v>34</v>
      </c>
      <c r="M423" s="2">
        <f t="shared" si="6"/>
        <v>223.75</v>
      </c>
      <c r="N4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23" s="1">
        <f>F:F/I:I</f>
        <v>4.4210526315789478</v>
      </c>
    </row>
    <row r="424" spans="1:15" x14ac:dyDescent="0.3">
      <c r="A424">
        <v>423</v>
      </c>
      <c r="B424">
        <v>22</v>
      </c>
      <c r="C424" t="s">
        <v>14</v>
      </c>
      <c r="D424" t="s">
        <v>18</v>
      </c>
      <c r="E424" t="s">
        <v>19</v>
      </c>
      <c r="F424">
        <v>416</v>
      </c>
      <c r="G424">
        <v>6.1</v>
      </c>
      <c r="H424">
        <v>2115</v>
      </c>
      <c r="I424">
        <v>71</v>
      </c>
      <c r="J424">
        <v>1041</v>
      </c>
      <c r="K424">
        <v>4</v>
      </c>
      <c r="L424" t="s">
        <v>39</v>
      </c>
      <c r="M424" s="2">
        <f t="shared" si="6"/>
        <v>346.72131147540983</v>
      </c>
      <c r="N4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24" s="1">
        <f>F:F/I:I</f>
        <v>5.859154929577465</v>
      </c>
    </row>
    <row r="425" spans="1:15" x14ac:dyDescent="0.3">
      <c r="A425">
        <v>424</v>
      </c>
      <c r="B425">
        <v>28</v>
      </c>
      <c r="C425" t="s">
        <v>14</v>
      </c>
      <c r="D425" t="s">
        <v>12</v>
      </c>
      <c r="E425" t="s">
        <v>13</v>
      </c>
      <c r="F425">
        <v>46</v>
      </c>
      <c r="G425">
        <v>1.1000000000000001</v>
      </c>
      <c r="H425">
        <v>536</v>
      </c>
      <c r="I425">
        <v>18</v>
      </c>
      <c r="J425">
        <v>167</v>
      </c>
      <c r="K425">
        <v>1</v>
      </c>
      <c r="L425" t="s">
        <v>36</v>
      </c>
      <c r="M425" s="2">
        <f t="shared" si="6"/>
        <v>487.27272727272725</v>
      </c>
      <c r="N4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25" s="1">
        <f>F:F/I:I</f>
        <v>2.5555555555555554</v>
      </c>
    </row>
    <row r="426" spans="1:15" x14ac:dyDescent="0.3">
      <c r="A426">
        <v>425</v>
      </c>
      <c r="B426">
        <v>24</v>
      </c>
      <c r="C426" t="s">
        <v>11</v>
      </c>
      <c r="D426" t="s">
        <v>17</v>
      </c>
      <c r="E426" t="s">
        <v>13</v>
      </c>
      <c r="F426">
        <v>201</v>
      </c>
      <c r="G426">
        <v>5</v>
      </c>
      <c r="H426">
        <v>1482</v>
      </c>
      <c r="I426">
        <v>59</v>
      </c>
      <c r="J426">
        <v>709</v>
      </c>
      <c r="K426">
        <v>3</v>
      </c>
      <c r="L426" t="s">
        <v>39</v>
      </c>
      <c r="M426" s="2">
        <f t="shared" si="6"/>
        <v>296.39999999999998</v>
      </c>
      <c r="N4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26" s="1">
        <f>F:F/I:I</f>
        <v>3.406779661016949</v>
      </c>
    </row>
    <row r="427" spans="1:15" x14ac:dyDescent="0.3">
      <c r="A427">
        <v>426</v>
      </c>
      <c r="B427">
        <v>37</v>
      </c>
      <c r="C427" t="s">
        <v>11</v>
      </c>
      <c r="D427" t="s">
        <v>16</v>
      </c>
      <c r="E427" t="s">
        <v>13</v>
      </c>
      <c r="F427">
        <v>130</v>
      </c>
      <c r="G427">
        <v>2.8</v>
      </c>
      <c r="H427">
        <v>1062</v>
      </c>
      <c r="I427">
        <v>24</v>
      </c>
      <c r="J427">
        <v>579</v>
      </c>
      <c r="K427">
        <v>2</v>
      </c>
      <c r="L427" t="s">
        <v>35</v>
      </c>
      <c r="M427" s="2">
        <f t="shared" si="6"/>
        <v>379.28571428571433</v>
      </c>
      <c r="N4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27" s="1">
        <f>F:F/I:I</f>
        <v>5.416666666666667</v>
      </c>
    </row>
    <row r="428" spans="1:15" x14ac:dyDescent="0.3">
      <c r="A428">
        <v>427</v>
      </c>
      <c r="B428">
        <v>44</v>
      </c>
      <c r="C428" t="s">
        <v>14</v>
      </c>
      <c r="D428" t="s">
        <v>17</v>
      </c>
      <c r="E428" t="s">
        <v>13</v>
      </c>
      <c r="F428">
        <v>98</v>
      </c>
      <c r="G428">
        <v>2.4</v>
      </c>
      <c r="H428">
        <v>747</v>
      </c>
      <c r="I428">
        <v>36</v>
      </c>
      <c r="J428">
        <v>403</v>
      </c>
      <c r="K428">
        <v>2</v>
      </c>
      <c r="L428" t="s">
        <v>34</v>
      </c>
      <c r="M428" s="2">
        <f t="shared" si="6"/>
        <v>311.25</v>
      </c>
      <c r="N4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28" s="1">
        <f>F:F/I:I</f>
        <v>2.7222222222222223</v>
      </c>
    </row>
    <row r="429" spans="1:15" x14ac:dyDescent="0.3">
      <c r="A429">
        <v>428</v>
      </c>
      <c r="B429">
        <v>51</v>
      </c>
      <c r="C429" t="s">
        <v>11</v>
      </c>
      <c r="D429" t="s">
        <v>17</v>
      </c>
      <c r="E429" t="s">
        <v>13</v>
      </c>
      <c r="F429">
        <v>105</v>
      </c>
      <c r="G429">
        <v>3.8</v>
      </c>
      <c r="H429">
        <v>967</v>
      </c>
      <c r="I429">
        <v>28</v>
      </c>
      <c r="J429">
        <v>489</v>
      </c>
      <c r="K429">
        <v>2</v>
      </c>
      <c r="L429" t="s">
        <v>38</v>
      </c>
      <c r="M429" s="2">
        <f t="shared" si="6"/>
        <v>254.47368421052633</v>
      </c>
      <c r="N4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29" s="1">
        <f>F:F/I:I</f>
        <v>3.75</v>
      </c>
    </row>
    <row r="430" spans="1:15" x14ac:dyDescent="0.3">
      <c r="A430">
        <v>429</v>
      </c>
      <c r="B430">
        <v>58</v>
      </c>
      <c r="C430" t="s">
        <v>11</v>
      </c>
      <c r="D430" t="s">
        <v>12</v>
      </c>
      <c r="E430" t="s">
        <v>13</v>
      </c>
      <c r="F430">
        <v>94</v>
      </c>
      <c r="G430">
        <v>2.2999999999999998</v>
      </c>
      <c r="H430">
        <v>1033</v>
      </c>
      <c r="I430">
        <v>33</v>
      </c>
      <c r="J430">
        <v>369</v>
      </c>
      <c r="K430">
        <v>2</v>
      </c>
      <c r="L430" t="s">
        <v>37</v>
      </c>
      <c r="M430" s="2">
        <f t="shared" si="6"/>
        <v>449.13043478260875</v>
      </c>
      <c r="N4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30" s="1">
        <f>F:F/I:I</f>
        <v>2.8484848484848486</v>
      </c>
    </row>
    <row r="431" spans="1:15" x14ac:dyDescent="0.3">
      <c r="A431">
        <v>430</v>
      </c>
      <c r="B431">
        <v>37</v>
      </c>
      <c r="C431" t="s">
        <v>11</v>
      </c>
      <c r="D431" t="s">
        <v>12</v>
      </c>
      <c r="E431" t="s">
        <v>13</v>
      </c>
      <c r="F431">
        <v>540</v>
      </c>
      <c r="G431">
        <v>10.1</v>
      </c>
      <c r="H431">
        <v>2757</v>
      </c>
      <c r="I431">
        <v>90</v>
      </c>
      <c r="J431">
        <v>2180</v>
      </c>
      <c r="K431">
        <v>5</v>
      </c>
      <c r="L431" t="s">
        <v>35</v>
      </c>
      <c r="M431" s="2">
        <f t="shared" si="6"/>
        <v>272.97029702970298</v>
      </c>
      <c r="N4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31" s="1">
        <f>F:F/I:I</f>
        <v>6</v>
      </c>
    </row>
    <row r="432" spans="1:15" x14ac:dyDescent="0.3">
      <c r="A432">
        <v>431</v>
      </c>
      <c r="B432">
        <v>22</v>
      </c>
      <c r="C432" t="s">
        <v>11</v>
      </c>
      <c r="D432" t="s">
        <v>18</v>
      </c>
      <c r="E432" t="s">
        <v>19</v>
      </c>
      <c r="F432">
        <v>266</v>
      </c>
      <c r="G432">
        <v>5.5</v>
      </c>
      <c r="H432">
        <v>1238</v>
      </c>
      <c r="I432">
        <v>59</v>
      </c>
      <c r="J432">
        <v>839</v>
      </c>
      <c r="K432">
        <v>3</v>
      </c>
      <c r="L432" t="s">
        <v>39</v>
      </c>
      <c r="M432" s="2">
        <f t="shared" si="6"/>
        <v>225.09090909090909</v>
      </c>
      <c r="N4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32" s="1">
        <f>F:F/I:I</f>
        <v>4.5084745762711869</v>
      </c>
    </row>
    <row r="433" spans="1:15" x14ac:dyDescent="0.3">
      <c r="A433">
        <v>432</v>
      </c>
      <c r="B433">
        <v>53</v>
      </c>
      <c r="C433" t="s">
        <v>11</v>
      </c>
      <c r="D433" t="s">
        <v>18</v>
      </c>
      <c r="E433" t="s">
        <v>19</v>
      </c>
      <c r="F433">
        <v>140</v>
      </c>
      <c r="G433">
        <v>3.8</v>
      </c>
      <c r="H433">
        <v>1137</v>
      </c>
      <c r="I433">
        <v>36</v>
      </c>
      <c r="J433">
        <v>506</v>
      </c>
      <c r="K433">
        <v>2</v>
      </c>
      <c r="L433" t="s">
        <v>38</v>
      </c>
      <c r="M433" s="2">
        <f t="shared" si="6"/>
        <v>299.21052631578948</v>
      </c>
      <c r="N4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33" s="1">
        <f>F:F/I:I</f>
        <v>3.8888888888888888</v>
      </c>
    </row>
    <row r="434" spans="1:15" x14ac:dyDescent="0.3">
      <c r="A434">
        <v>433</v>
      </c>
      <c r="B434">
        <v>51</v>
      </c>
      <c r="C434" t="s">
        <v>11</v>
      </c>
      <c r="D434" t="s">
        <v>15</v>
      </c>
      <c r="E434" t="s">
        <v>13</v>
      </c>
      <c r="F434">
        <v>534</v>
      </c>
      <c r="G434">
        <v>10.4</v>
      </c>
      <c r="H434">
        <v>2672</v>
      </c>
      <c r="I434">
        <v>90</v>
      </c>
      <c r="J434">
        <v>1702</v>
      </c>
      <c r="K434">
        <v>5</v>
      </c>
      <c r="L434" t="s">
        <v>38</v>
      </c>
      <c r="M434" s="2">
        <f t="shared" si="6"/>
        <v>256.92307692307691</v>
      </c>
      <c r="N4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34" s="1">
        <f>F:F/I:I</f>
        <v>5.9333333333333336</v>
      </c>
    </row>
    <row r="435" spans="1:15" x14ac:dyDescent="0.3">
      <c r="A435">
        <v>434</v>
      </c>
      <c r="B435">
        <v>42</v>
      </c>
      <c r="C435" t="s">
        <v>11</v>
      </c>
      <c r="D435" t="s">
        <v>17</v>
      </c>
      <c r="E435" t="s">
        <v>13</v>
      </c>
      <c r="F435">
        <v>46</v>
      </c>
      <c r="G435">
        <v>2</v>
      </c>
      <c r="H435">
        <v>309</v>
      </c>
      <c r="I435">
        <v>15</v>
      </c>
      <c r="J435">
        <v>116</v>
      </c>
      <c r="K435">
        <v>1</v>
      </c>
      <c r="L435" t="s">
        <v>34</v>
      </c>
      <c r="M435" s="2">
        <f t="shared" si="6"/>
        <v>154.5</v>
      </c>
      <c r="N4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35" s="1">
        <f>F:F/I:I</f>
        <v>3.0666666666666669</v>
      </c>
    </row>
    <row r="436" spans="1:15" x14ac:dyDescent="0.3">
      <c r="A436">
        <v>435</v>
      </c>
      <c r="B436">
        <v>58</v>
      </c>
      <c r="C436" t="s">
        <v>11</v>
      </c>
      <c r="D436" t="s">
        <v>18</v>
      </c>
      <c r="E436" t="s">
        <v>19</v>
      </c>
      <c r="F436">
        <v>581</v>
      </c>
      <c r="G436">
        <v>8.4</v>
      </c>
      <c r="H436">
        <v>2591</v>
      </c>
      <c r="I436">
        <v>99</v>
      </c>
      <c r="J436">
        <v>2304</v>
      </c>
      <c r="K436">
        <v>5</v>
      </c>
      <c r="L436" t="s">
        <v>37</v>
      </c>
      <c r="M436" s="2">
        <f t="shared" si="6"/>
        <v>308.45238095238096</v>
      </c>
      <c r="N4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36" s="1">
        <f>F:F/I:I</f>
        <v>5.8686868686868685</v>
      </c>
    </row>
    <row r="437" spans="1:15" x14ac:dyDescent="0.3">
      <c r="A437">
        <v>436</v>
      </c>
      <c r="B437">
        <v>34</v>
      </c>
      <c r="C437" t="s">
        <v>14</v>
      </c>
      <c r="D437" t="s">
        <v>12</v>
      </c>
      <c r="E437" t="s">
        <v>13</v>
      </c>
      <c r="F437">
        <v>105</v>
      </c>
      <c r="G437">
        <v>3.4</v>
      </c>
      <c r="H437">
        <v>798</v>
      </c>
      <c r="I437">
        <v>21</v>
      </c>
      <c r="J437">
        <v>467</v>
      </c>
      <c r="K437">
        <v>2</v>
      </c>
      <c r="L437" t="s">
        <v>40</v>
      </c>
      <c r="M437" s="2">
        <f t="shared" si="6"/>
        <v>234.70588235294119</v>
      </c>
      <c r="N4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37" s="1">
        <f>F:F/I:I</f>
        <v>5</v>
      </c>
    </row>
    <row r="438" spans="1:15" x14ac:dyDescent="0.3">
      <c r="A438">
        <v>437</v>
      </c>
      <c r="B438">
        <v>20</v>
      </c>
      <c r="C438" t="s">
        <v>11</v>
      </c>
      <c r="D438" t="s">
        <v>17</v>
      </c>
      <c r="E438" t="s">
        <v>13</v>
      </c>
      <c r="F438">
        <v>221</v>
      </c>
      <c r="G438">
        <v>4.4000000000000004</v>
      </c>
      <c r="H438">
        <v>1341</v>
      </c>
      <c r="I438">
        <v>46</v>
      </c>
      <c r="J438">
        <v>862</v>
      </c>
      <c r="K438">
        <v>3</v>
      </c>
      <c r="L438" t="s">
        <v>39</v>
      </c>
      <c r="M438" s="2">
        <f t="shared" si="6"/>
        <v>304.77272727272725</v>
      </c>
      <c r="N4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38" s="1">
        <f>F:F/I:I</f>
        <v>4.8043478260869561</v>
      </c>
    </row>
    <row r="439" spans="1:15" x14ac:dyDescent="0.3">
      <c r="A439">
        <v>438</v>
      </c>
      <c r="B439">
        <v>34</v>
      </c>
      <c r="C439" t="s">
        <v>11</v>
      </c>
      <c r="D439" t="s">
        <v>18</v>
      </c>
      <c r="E439" t="s">
        <v>19</v>
      </c>
      <c r="F439">
        <v>41</v>
      </c>
      <c r="G439">
        <v>1.7</v>
      </c>
      <c r="H439">
        <v>408</v>
      </c>
      <c r="I439">
        <v>16</v>
      </c>
      <c r="J439">
        <v>291</v>
      </c>
      <c r="K439">
        <v>1</v>
      </c>
      <c r="L439" t="s">
        <v>40</v>
      </c>
      <c r="M439" s="2">
        <f t="shared" si="6"/>
        <v>240</v>
      </c>
      <c r="N4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39" s="1">
        <f>F:F/I:I</f>
        <v>2.5625</v>
      </c>
    </row>
    <row r="440" spans="1:15" x14ac:dyDescent="0.3">
      <c r="A440">
        <v>439</v>
      </c>
      <c r="B440">
        <v>52</v>
      </c>
      <c r="C440" t="s">
        <v>14</v>
      </c>
      <c r="D440" t="s">
        <v>17</v>
      </c>
      <c r="E440" t="s">
        <v>13</v>
      </c>
      <c r="F440">
        <v>105</v>
      </c>
      <c r="G440">
        <v>3</v>
      </c>
      <c r="H440">
        <v>728</v>
      </c>
      <c r="I440">
        <v>24</v>
      </c>
      <c r="J440">
        <v>343</v>
      </c>
      <c r="K440">
        <v>2</v>
      </c>
      <c r="L440" t="s">
        <v>38</v>
      </c>
      <c r="M440" s="2">
        <f t="shared" si="6"/>
        <v>242.66666666666666</v>
      </c>
      <c r="N4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40" s="1">
        <f>F:F/I:I</f>
        <v>4.375</v>
      </c>
    </row>
    <row r="441" spans="1:15" x14ac:dyDescent="0.3">
      <c r="A441">
        <v>440</v>
      </c>
      <c r="B441">
        <v>18</v>
      </c>
      <c r="C441" t="s">
        <v>11</v>
      </c>
      <c r="D441" t="s">
        <v>15</v>
      </c>
      <c r="E441" t="s">
        <v>13</v>
      </c>
      <c r="F441">
        <v>123</v>
      </c>
      <c r="G441">
        <v>3.9</v>
      </c>
      <c r="H441">
        <v>915</v>
      </c>
      <c r="I441">
        <v>39</v>
      </c>
      <c r="J441">
        <v>468</v>
      </c>
      <c r="K441">
        <v>2</v>
      </c>
      <c r="L441" t="s">
        <v>42</v>
      </c>
      <c r="M441" s="2">
        <f t="shared" si="6"/>
        <v>234.61538461538461</v>
      </c>
      <c r="N4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441" s="1">
        <f>F:F/I:I</f>
        <v>3.1538461538461537</v>
      </c>
    </row>
    <row r="442" spans="1:15" x14ac:dyDescent="0.3">
      <c r="A442">
        <v>441</v>
      </c>
      <c r="B442">
        <v>36</v>
      </c>
      <c r="C442" t="s">
        <v>14</v>
      </c>
      <c r="D442" t="s">
        <v>15</v>
      </c>
      <c r="E442" t="s">
        <v>13</v>
      </c>
      <c r="F442">
        <v>260</v>
      </c>
      <c r="G442">
        <v>5.7</v>
      </c>
      <c r="H442">
        <v>1725</v>
      </c>
      <c r="I442">
        <v>56</v>
      </c>
      <c r="J442">
        <v>920</v>
      </c>
      <c r="K442">
        <v>3</v>
      </c>
      <c r="L442" t="s">
        <v>35</v>
      </c>
      <c r="M442" s="2">
        <f t="shared" si="6"/>
        <v>302.63157894736844</v>
      </c>
      <c r="N4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42" s="1">
        <f>F:F/I:I</f>
        <v>4.6428571428571432</v>
      </c>
    </row>
    <row r="443" spans="1:15" x14ac:dyDescent="0.3">
      <c r="A443">
        <v>442</v>
      </c>
      <c r="B443">
        <v>39</v>
      </c>
      <c r="C443" t="s">
        <v>11</v>
      </c>
      <c r="D443" t="s">
        <v>16</v>
      </c>
      <c r="E443" t="s">
        <v>13</v>
      </c>
      <c r="F443">
        <v>223</v>
      </c>
      <c r="G443">
        <v>5.7</v>
      </c>
      <c r="H443">
        <v>1295</v>
      </c>
      <c r="I443">
        <v>44</v>
      </c>
      <c r="J443">
        <v>751</v>
      </c>
      <c r="K443">
        <v>3</v>
      </c>
      <c r="L443" t="s">
        <v>35</v>
      </c>
      <c r="M443" s="2">
        <f t="shared" si="6"/>
        <v>227.19298245614036</v>
      </c>
      <c r="N4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43" s="1">
        <f>F:F/I:I</f>
        <v>5.0681818181818183</v>
      </c>
    </row>
    <row r="444" spans="1:15" x14ac:dyDescent="0.3">
      <c r="A444">
        <v>443</v>
      </c>
      <c r="B444">
        <v>33</v>
      </c>
      <c r="C444" t="s">
        <v>11</v>
      </c>
      <c r="D444" t="s">
        <v>15</v>
      </c>
      <c r="E444" t="s">
        <v>13</v>
      </c>
      <c r="F444">
        <v>66</v>
      </c>
      <c r="G444">
        <v>1.1000000000000001</v>
      </c>
      <c r="H444">
        <v>505</v>
      </c>
      <c r="I444">
        <v>17</v>
      </c>
      <c r="J444">
        <v>218</v>
      </c>
      <c r="K444">
        <v>1</v>
      </c>
      <c r="L444" t="s">
        <v>40</v>
      </c>
      <c r="M444" s="2">
        <f t="shared" si="6"/>
        <v>459.09090909090907</v>
      </c>
      <c r="N4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44" s="1">
        <f>F:F/I:I</f>
        <v>3.8823529411764706</v>
      </c>
    </row>
    <row r="445" spans="1:15" x14ac:dyDescent="0.3">
      <c r="A445">
        <v>444</v>
      </c>
      <c r="B445">
        <v>29</v>
      </c>
      <c r="C445" t="s">
        <v>14</v>
      </c>
      <c r="D445" t="s">
        <v>18</v>
      </c>
      <c r="E445" t="s">
        <v>19</v>
      </c>
      <c r="F445">
        <v>231</v>
      </c>
      <c r="G445">
        <v>4</v>
      </c>
      <c r="H445">
        <v>1664</v>
      </c>
      <c r="I445">
        <v>48</v>
      </c>
      <c r="J445">
        <v>724</v>
      </c>
      <c r="K445">
        <v>3</v>
      </c>
      <c r="L445" t="s">
        <v>36</v>
      </c>
      <c r="M445" s="2">
        <f t="shared" si="6"/>
        <v>416</v>
      </c>
      <c r="N4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45" s="1">
        <f>F:F/I:I</f>
        <v>4.8125</v>
      </c>
    </row>
    <row r="446" spans="1:15" x14ac:dyDescent="0.3">
      <c r="A446">
        <v>445</v>
      </c>
      <c r="B446">
        <v>22</v>
      </c>
      <c r="C446" t="s">
        <v>11</v>
      </c>
      <c r="D446" t="s">
        <v>18</v>
      </c>
      <c r="E446" t="s">
        <v>19</v>
      </c>
      <c r="F446">
        <v>555</v>
      </c>
      <c r="G446">
        <v>8.8000000000000007</v>
      </c>
      <c r="H446">
        <v>2540</v>
      </c>
      <c r="I446">
        <v>97</v>
      </c>
      <c r="J446">
        <v>2402</v>
      </c>
      <c r="K446">
        <v>5</v>
      </c>
      <c r="L446" t="s">
        <v>39</v>
      </c>
      <c r="M446" s="2">
        <f t="shared" si="6"/>
        <v>288.63636363636363</v>
      </c>
      <c r="N4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46" s="1">
        <f>F:F/I:I</f>
        <v>5.7216494845360826</v>
      </c>
    </row>
    <row r="447" spans="1:15" x14ac:dyDescent="0.3">
      <c r="A447">
        <v>446</v>
      </c>
      <c r="B447">
        <v>58</v>
      </c>
      <c r="C447" t="s">
        <v>11</v>
      </c>
      <c r="D447" t="s">
        <v>16</v>
      </c>
      <c r="E447" t="s">
        <v>13</v>
      </c>
      <c r="F447">
        <v>378</v>
      </c>
      <c r="G447">
        <v>7.2</v>
      </c>
      <c r="H447">
        <v>1859</v>
      </c>
      <c r="I447">
        <v>61</v>
      </c>
      <c r="J447">
        <v>1318</v>
      </c>
      <c r="K447">
        <v>4</v>
      </c>
      <c r="L447" t="s">
        <v>37</v>
      </c>
      <c r="M447" s="2">
        <f t="shared" si="6"/>
        <v>258.19444444444446</v>
      </c>
      <c r="N4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47" s="1">
        <f>F:F/I:I</f>
        <v>6.1967213114754101</v>
      </c>
    </row>
    <row r="448" spans="1:15" x14ac:dyDescent="0.3">
      <c r="A448">
        <v>447</v>
      </c>
      <c r="B448">
        <v>24</v>
      </c>
      <c r="C448" t="s">
        <v>11</v>
      </c>
      <c r="D448" t="s">
        <v>17</v>
      </c>
      <c r="E448" t="s">
        <v>13</v>
      </c>
      <c r="F448">
        <v>546</v>
      </c>
      <c r="G448">
        <v>8.8000000000000007</v>
      </c>
      <c r="H448">
        <v>2852</v>
      </c>
      <c r="I448">
        <v>81</v>
      </c>
      <c r="J448">
        <v>1641</v>
      </c>
      <c r="K448">
        <v>5</v>
      </c>
      <c r="L448" t="s">
        <v>39</v>
      </c>
      <c r="M448" s="2">
        <f t="shared" si="6"/>
        <v>324.09090909090907</v>
      </c>
      <c r="N4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48" s="1">
        <f>F:F/I:I</f>
        <v>6.7407407407407405</v>
      </c>
    </row>
    <row r="449" spans="1:15" x14ac:dyDescent="0.3">
      <c r="A449">
        <v>448</v>
      </c>
      <c r="B449">
        <v>58</v>
      </c>
      <c r="C449" t="s">
        <v>11</v>
      </c>
      <c r="D449" t="s">
        <v>16</v>
      </c>
      <c r="E449" t="s">
        <v>13</v>
      </c>
      <c r="F449">
        <v>234</v>
      </c>
      <c r="G449">
        <v>5.2</v>
      </c>
      <c r="H449">
        <v>1604</v>
      </c>
      <c r="I449">
        <v>58</v>
      </c>
      <c r="J449">
        <v>919</v>
      </c>
      <c r="K449">
        <v>3</v>
      </c>
      <c r="L449" t="s">
        <v>37</v>
      </c>
      <c r="M449" s="2">
        <f t="shared" si="6"/>
        <v>308.46153846153845</v>
      </c>
      <c r="N4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49" s="1">
        <f>F:F/I:I</f>
        <v>4.0344827586206895</v>
      </c>
    </row>
    <row r="450" spans="1:15" x14ac:dyDescent="0.3">
      <c r="A450">
        <v>449</v>
      </c>
      <c r="B450">
        <v>22</v>
      </c>
      <c r="C450" t="s">
        <v>14</v>
      </c>
      <c r="D450" t="s">
        <v>16</v>
      </c>
      <c r="E450" t="s">
        <v>13</v>
      </c>
      <c r="F450">
        <v>152</v>
      </c>
      <c r="G450">
        <v>3</v>
      </c>
      <c r="H450">
        <v>617</v>
      </c>
      <c r="I450">
        <v>22</v>
      </c>
      <c r="J450">
        <v>306</v>
      </c>
      <c r="K450">
        <v>2</v>
      </c>
      <c r="L450" t="s">
        <v>39</v>
      </c>
      <c r="M450" s="2">
        <f t="shared" ref="M450:M513" si="7">H:H/G:G</f>
        <v>205.66666666666666</v>
      </c>
      <c r="N4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50" s="1">
        <f>F:F/I:I</f>
        <v>6.9090909090909092</v>
      </c>
    </row>
    <row r="451" spans="1:15" x14ac:dyDescent="0.3">
      <c r="A451">
        <v>450</v>
      </c>
      <c r="B451">
        <v>20</v>
      </c>
      <c r="C451" t="s">
        <v>14</v>
      </c>
      <c r="D451" t="s">
        <v>15</v>
      </c>
      <c r="E451" t="s">
        <v>13</v>
      </c>
      <c r="F451">
        <v>34</v>
      </c>
      <c r="G451">
        <v>1.2</v>
      </c>
      <c r="H451">
        <v>518</v>
      </c>
      <c r="I451">
        <v>10</v>
      </c>
      <c r="J451">
        <v>170</v>
      </c>
      <c r="K451">
        <v>1</v>
      </c>
      <c r="L451" t="s">
        <v>39</v>
      </c>
      <c r="M451" s="2">
        <f t="shared" si="7"/>
        <v>431.66666666666669</v>
      </c>
      <c r="N4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51" s="1">
        <f>F:F/I:I</f>
        <v>3.4</v>
      </c>
    </row>
    <row r="452" spans="1:15" x14ac:dyDescent="0.3">
      <c r="A452">
        <v>451</v>
      </c>
      <c r="B452">
        <v>56</v>
      </c>
      <c r="C452" t="s">
        <v>11</v>
      </c>
      <c r="D452" t="s">
        <v>16</v>
      </c>
      <c r="E452" t="s">
        <v>13</v>
      </c>
      <c r="F452">
        <v>179</v>
      </c>
      <c r="G452">
        <v>3.5</v>
      </c>
      <c r="H452">
        <v>1114</v>
      </c>
      <c r="I452">
        <v>30</v>
      </c>
      <c r="J452">
        <v>466</v>
      </c>
      <c r="K452">
        <v>2</v>
      </c>
      <c r="L452" t="s">
        <v>37</v>
      </c>
      <c r="M452" s="2">
        <f t="shared" si="7"/>
        <v>318.28571428571428</v>
      </c>
      <c r="N4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52" s="1">
        <f>F:F/I:I</f>
        <v>5.9666666666666668</v>
      </c>
    </row>
    <row r="453" spans="1:15" x14ac:dyDescent="0.3">
      <c r="A453">
        <v>452</v>
      </c>
      <c r="B453">
        <v>52</v>
      </c>
      <c r="C453" t="s">
        <v>11</v>
      </c>
      <c r="D453" t="s">
        <v>17</v>
      </c>
      <c r="E453" t="s">
        <v>13</v>
      </c>
      <c r="F453">
        <v>591</v>
      </c>
      <c r="G453">
        <v>11.8</v>
      </c>
      <c r="H453">
        <v>2953</v>
      </c>
      <c r="I453">
        <v>92</v>
      </c>
      <c r="J453">
        <v>1903</v>
      </c>
      <c r="K453">
        <v>5</v>
      </c>
      <c r="L453" t="s">
        <v>38</v>
      </c>
      <c r="M453" s="2">
        <f t="shared" si="7"/>
        <v>250.25423728813558</v>
      </c>
      <c r="N4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53" s="1">
        <f>F:F/I:I</f>
        <v>6.4239130434782608</v>
      </c>
    </row>
    <row r="454" spans="1:15" x14ac:dyDescent="0.3">
      <c r="A454">
        <v>453</v>
      </c>
      <c r="B454">
        <v>26</v>
      </c>
      <c r="C454" t="s">
        <v>11</v>
      </c>
      <c r="D454" t="s">
        <v>16</v>
      </c>
      <c r="E454" t="s">
        <v>13</v>
      </c>
      <c r="F454">
        <v>120</v>
      </c>
      <c r="G454">
        <v>3.3</v>
      </c>
      <c r="H454">
        <v>734</v>
      </c>
      <c r="I454">
        <v>35</v>
      </c>
      <c r="J454">
        <v>583</v>
      </c>
      <c r="K454">
        <v>2</v>
      </c>
      <c r="L454" t="s">
        <v>36</v>
      </c>
      <c r="M454" s="2">
        <f t="shared" si="7"/>
        <v>222.42424242424244</v>
      </c>
      <c r="N4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54" s="1">
        <f>F:F/I:I</f>
        <v>3.4285714285714284</v>
      </c>
    </row>
    <row r="455" spans="1:15" x14ac:dyDescent="0.3">
      <c r="A455">
        <v>454</v>
      </c>
      <c r="B455">
        <v>43</v>
      </c>
      <c r="C455" t="s">
        <v>11</v>
      </c>
      <c r="D455" t="s">
        <v>15</v>
      </c>
      <c r="E455" t="s">
        <v>13</v>
      </c>
      <c r="F455">
        <v>88</v>
      </c>
      <c r="G455">
        <v>1.3</v>
      </c>
      <c r="H455">
        <v>557</v>
      </c>
      <c r="I455">
        <v>13</v>
      </c>
      <c r="J455">
        <v>164</v>
      </c>
      <c r="K455">
        <v>1</v>
      </c>
      <c r="L455" t="s">
        <v>34</v>
      </c>
      <c r="M455" s="2">
        <f t="shared" si="7"/>
        <v>428.46153846153845</v>
      </c>
      <c r="N4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55" s="1">
        <f>F:F/I:I</f>
        <v>6.7692307692307692</v>
      </c>
    </row>
    <row r="456" spans="1:15" x14ac:dyDescent="0.3">
      <c r="A456">
        <v>455</v>
      </c>
      <c r="B456">
        <v>45</v>
      </c>
      <c r="C456" t="s">
        <v>11</v>
      </c>
      <c r="D456" t="s">
        <v>18</v>
      </c>
      <c r="E456" t="s">
        <v>19</v>
      </c>
      <c r="F456">
        <v>143</v>
      </c>
      <c r="G456">
        <v>3.9</v>
      </c>
      <c r="H456">
        <v>1160</v>
      </c>
      <c r="I456">
        <v>24</v>
      </c>
      <c r="J456">
        <v>398</v>
      </c>
      <c r="K456">
        <v>2</v>
      </c>
      <c r="L456" t="s">
        <v>41</v>
      </c>
      <c r="M456" s="2">
        <f t="shared" si="7"/>
        <v>297.43589743589746</v>
      </c>
      <c r="N4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56" s="1">
        <f>F:F/I:I</f>
        <v>5.958333333333333</v>
      </c>
    </row>
    <row r="457" spans="1:15" x14ac:dyDescent="0.3">
      <c r="A457">
        <v>456</v>
      </c>
      <c r="B457">
        <v>27</v>
      </c>
      <c r="C457" t="s">
        <v>14</v>
      </c>
      <c r="D457" t="s">
        <v>18</v>
      </c>
      <c r="E457" t="s">
        <v>19</v>
      </c>
      <c r="F457">
        <v>74</v>
      </c>
      <c r="G457">
        <v>1.6</v>
      </c>
      <c r="H457">
        <v>436</v>
      </c>
      <c r="I457">
        <v>13</v>
      </c>
      <c r="J457">
        <v>182</v>
      </c>
      <c r="K457">
        <v>1</v>
      </c>
      <c r="L457" t="s">
        <v>36</v>
      </c>
      <c r="M457" s="2">
        <f t="shared" si="7"/>
        <v>272.5</v>
      </c>
      <c r="N4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57" s="1">
        <f>F:F/I:I</f>
        <v>5.6923076923076925</v>
      </c>
    </row>
    <row r="458" spans="1:15" x14ac:dyDescent="0.3">
      <c r="A458">
        <v>457</v>
      </c>
      <c r="B458">
        <v>27</v>
      </c>
      <c r="C458" t="s">
        <v>14</v>
      </c>
      <c r="D458" t="s">
        <v>18</v>
      </c>
      <c r="E458" t="s">
        <v>19</v>
      </c>
      <c r="F458">
        <v>74</v>
      </c>
      <c r="G458">
        <v>1.6</v>
      </c>
      <c r="H458">
        <v>587</v>
      </c>
      <c r="I458">
        <v>15</v>
      </c>
      <c r="J458">
        <v>275</v>
      </c>
      <c r="K458">
        <v>1</v>
      </c>
      <c r="L458" t="s">
        <v>36</v>
      </c>
      <c r="M458" s="2">
        <f t="shared" si="7"/>
        <v>366.875</v>
      </c>
      <c r="N4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58" s="1">
        <f>F:F/I:I</f>
        <v>4.9333333333333336</v>
      </c>
    </row>
    <row r="459" spans="1:15" x14ac:dyDescent="0.3">
      <c r="A459">
        <v>458</v>
      </c>
      <c r="B459">
        <v>46</v>
      </c>
      <c r="C459" t="s">
        <v>11</v>
      </c>
      <c r="D459" t="s">
        <v>17</v>
      </c>
      <c r="E459" t="s">
        <v>13</v>
      </c>
      <c r="F459">
        <v>234</v>
      </c>
      <c r="G459">
        <v>4.7</v>
      </c>
      <c r="H459">
        <v>1707</v>
      </c>
      <c r="I459">
        <v>55</v>
      </c>
      <c r="J459">
        <v>871</v>
      </c>
      <c r="K459">
        <v>3</v>
      </c>
      <c r="L459" t="s">
        <v>41</v>
      </c>
      <c r="M459" s="2">
        <f t="shared" si="7"/>
        <v>363.19148936170211</v>
      </c>
      <c r="N4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59" s="1">
        <f>F:F/I:I</f>
        <v>4.2545454545454549</v>
      </c>
    </row>
    <row r="460" spans="1:15" x14ac:dyDescent="0.3">
      <c r="A460">
        <v>459</v>
      </c>
      <c r="B460">
        <v>58</v>
      </c>
      <c r="C460" t="s">
        <v>14</v>
      </c>
      <c r="D460" t="s">
        <v>18</v>
      </c>
      <c r="E460" t="s">
        <v>19</v>
      </c>
      <c r="F460">
        <v>56</v>
      </c>
      <c r="G460">
        <v>1</v>
      </c>
      <c r="H460">
        <v>547</v>
      </c>
      <c r="I460">
        <v>10</v>
      </c>
      <c r="J460">
        <v>142</v>
      </c>
      <c r="K460">
        <v>1</v>
      </c>
      <c r="L460" t="s">
        <v>37</v>
      </c>
      <c r="M460" s="2">
        <f t="shared" si="7"/>
        <v>547</v>
      </c>
      <c r="N4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60" s="1">
        <f>F:F/I:I</f>
        <v>5.6</v>
      </c>
    </row>
    <row r="461" spans="1:15" x14ac:dyDescent="0.3">
      <c r="A461">
        <v>460</v>
      </c>
      <c r="B461">
        <v>50</v>
      </c>
      <c r="C461" t="s">
        <v>11</v>
      </c>
      <c r="D461" t="s">
        <v>17</v>
      </c>
      <c r="E461" t="s">
        <v>13</v>
      </c>
      <c r="F461">
        <v>174</v>
      </c>
      <c r="G461">
        <v>2.4</v>
      </c>
      <c r="H461">
        <v>639</v>
      </c>
      <c r="I461">
        <v>37</v>
      </c>
      <c r="J461">
        <v>545</v>
      </c>
      <c r="K461">
        <v>2</v>
      </c>
      <c r="L461" t="s">
        <v>38</v>
      </c>
      <c r="M461" s="2">
        <f t="shared" si="7"/>
        <v>266.25</v>
      </c>
      <c r="N4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61" s="1">
        <f>F:F/I:I</f>
        <v>4.7027027027027026</v>
      </c>
    </row>
    <row r="462" spans="1:15" x14ac:dyDescent="0.3">
      <c r="A462">
        <v>461</v>
      </c>
      <c r="B462">
        <v>20</v>
      </c>
      <c r="C462" t="s">
        <v>14</v>
      </c>
      <c r="D462" t="s">
        <v>16</v>
      </c>
      <c r="E462" t="s">
        <v>13</v>
      </c>
      <c r="F462">
        <v>523</v>
      </c>
      <c r="G462">
        <v>9</v>
      </c>
      <c r="H462">
        <v>2696</v>
      </c>
      <c r="I462">
        <v>91</v>
      </c>
      <c r="J462">
        <v>1561</v>
      </c>
      <c r="K462">
        <v>5</v>
      </c>
      <c r="L462" t="s">
        <v>39</v>
      </c>
      <c r="M462" s="2">
        <f t="shared" si="7"/>
        <v>299.55555555555554</v>
      </c>
      <c r="N4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62" s="1">
        <f>F:F/I:I</f>
        <v>5.7472527472527473</v>
      </c>
    </row>
    <row r="463" spans="1:15" x14ac:dyDescent="0.3">
      <c r="A463">
        <v>462</v>
      </c>
      <c r="B463">
        <v>55</v>
      </c>
      <c r="C463" t="s">
        <v>11</v>
      </c>
      <c r="D463" t="s">
        <v>16</v>
      </c>
      <c r="E463" t="s">
        <v>13</v>
      </c>
      <c r="F463">
        <v>123</v>
      </c>
      <c r="G463">
        <v>3.3</v>
      </c>
      <c r="H463">
        <v>938</v>
      </c>
      <c r="I463">
        <v>36</v>
      </c>
      <c r="J463">
        <v>438</v>
      </c>
      <c r="K463">
        <v>2</v>
      </c>
      <c r="L463" t="s">
        <v>37</v>
      </c>
      <c r="M463" s="2">
        <f t="shared" si="7"/>
        <v>284.24242424242425</v>
      </c>
      <c r="N4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63" s="1">
        <f>F:F/I:I</f>
        <v>3.4166666666666665</v>
      </c>
    </row>
    <row r="464" spans="1:15" x14ac:dyDescent="0.3">
      <c r="A464">
        <v>463</v>
      </c>
      <c r="B464">
        <v>55</v>
      </c>
      <c r="C464" t="s">
        <v>11</v>
      </c>
      <c r="D464" t="s">
        <v>16</v>
      </c>
      <c r="E464" t="s">
        <v>13</v>
      </c>
      <c r="F464">
        <v>216</v>
      </c>
      <c r="G464">
        <v>5.9</v>
      </c>
      <c r="H464">
        <v>1789</v>
      </c>
      <c r="I464">
        <v>54</v>
      </c>
      <c r="J464">
        <v>987</v>
      </c>
      <c r="K464">
        <v>3</v>
      </c>
      <c r="L464" t="s">
        <v>37</v>
      </c>
      <c r="M464" s="2">
        <f t="shared" si="7"/>
        <v>303.22033898305085</v>
      </c>
      <c r="N4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64" s="1">
        <f>F:F/I:I</f>
        <v>4</v>
      </c>
    </row>
    <row r="465" spans="1:15" x14ac:dyDescent="0.3">
      <c r="A465">
        <v>464</v>
      </c>
      <c r="B465">
        <v>23</v>
      </c>
      <c r="C465" t="s">
        <v>11</v>
      </c>
      <c r="D465" t="s">
        <v>18</v>
      </c>
      <c r="E465" t="s">
        <v>19</v>
      </c>
      <c r="F465">
        <v>290</v>
      </c>
      <c r="G465">
        <v>4.5999999999999996</v>
      </c>
      <c r="H465">
        <v>1694</v>
      </c>
      <c r="I465">
        <v>50</v>
      </c>
      <c r="J465">
        <v>809</v>
      </c>
      <c r="K465">
        <v>3</v>
      </c>
      <c r="L465" t="s">
        <v>39</v>
      </c>
      <c r="M465" s="2">
        <f t="shared" si="7"/>
        <v>368.26086956521743</v>
      </c>
      <c r="N4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65" s="1">
        <f>F:F/I:I</f>
        <v>5.8</v>
      </c>
    </row>
    <row r="466" spans="1:15" x14ac:dyDescent="0.3">
      <c r="A466">
        <v>465</v>
      </c>
      <c r="B466">
        <v>26</v>
      </c>
      <c r="C466" t="s">
        <v>14</v>
      </c>
      <c r="D466" t="s">
        <v>12</v>
      </c>
      <c r="E466" t="s">
        <v>13</v>
      </c>
      <c r="F466">
        <v>68</v>
      </c>
      <c r="G466">
        <v>1.3</v>
      </c>
      <c r="H466">
        <v>583</v>
      </c>
      <c r="I466">
        <v>10</v>
      </c>
      <c r="J466">
        <v>281</v>
      </c>
      <c r="K466">
        <v>1</v>
      </c>
      <c r="L466" t="s">
        <v>36</v>
      </c>
      <c r="M466" s="2">
        <f t="shared" si="7"/>
        <v>448.46153846153845</v>
      </c>
      <c r="N4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66" s="1">
        <f>F:F/I:I</f>
        <v>6.8</v>
      </c>
    </row>
    <row r="467" spans="1:15" x14ac:dyDescent="0.3">
      <c r="A467">
        <v>466</v>
      </c>
      <c r="B467">
        <v>55</v>
      </c>
      <c r="C467" t="s">
        <v>14</v>
      </c>
      <c r="D467" t="s">
        <v>17</v>
      </c>
      <c r="E467" t="s">
        <v>13</v>
      </c>
      <c r="F467">
        <v>265</v>
      </c>
      <c r="G467">
        <v>4.8</v>
      </c>
      <c r="H467">
        <v>1770</v>
      </c>
      <c r="I467">
        <v>51</v>
      </c>
      <c r="J467">
        <v>723</v>
      </c>
      <c r="K467">
        <v>3</v>
      </c>
      <c r="L467" t="s">
        <v>37</v>
      </c>
      <c r="M467" s="2">
        <f t="shared" si="7"/>
        <v>368.75</v>
      </c>
      <c r="N4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67" s="1">
        <f>F:F/I:I</f>
        <v>5.1960784313725492</v>
      </c>
    </row>
    <row r="468" spans="1:15" x14ac:dyDescent="0.3">
      <c r="A468">
        <v>467</v>
      </c>
      <c r="B468">
        <v>51</v>
      </c>
      <c r="C468" t="s">
        <v>11</v>
      </c>
      <c r="D468" t="s">
        <v>16</v>
      </c>
      <c r="E468" t="s">
        <v>13</v>
      </c>
      <c r="F468">
        <v>414</v>
      </c>
      <c r="G468">
        <v>7.3</v>
      </c>
      <c r="H468">
        <v>2349</v>
      </c>
      <c r="I468">
        <v>75</v>
      </c>
      <c r="J468">
        <v>1092</v>
      </c>
      <c r="K468">
        <v>4</v>
      </c>
      <c r="L468" t="s">
        <v>38</v>
      </c>
      <c r="M468" s="2">
        <f t="shared" si="7"/>
        <v>321.78082191780823</v>
      </c>
      <c r="N4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68" s="1">
        <f>F:F/I:I</f>
        <v>5.52</v>
      </c>
    </row>
    <row r="469" spans="1:15" x14ac:dyDescent="0.3">
      <c r="A469">
        <v>468</v>
      </c>
      <c r="B469">
        <v>41</v>
      </c>
      <c r="C469" t="s">
        <v>14</v>
      </c>
      <c r="D469" t="s">
        <v>15</v>
      </c>
      <c r="E469" t="s">
        <v>13</v>
      </c>
      <c r="F469">
        <v>238</v>
      </c>
      <c r="G469">
        <v>4</v>
      </c>
      <c r="H469">
        <v>1414</v>
      </c>
      <c r="I469">
        <v>47</v>
      </c>
      <c r="J469">
        <v>661</v>
      </c>
      <c r="K469">
        <v>3</v>
      </c>
      <c r="L469" t="s">
        <v>34</v>
      </c>
      <c r="M469" s="2">
        <f t="shared" si="7"/>
        <v>353.5</v>
      </c>
      <c r="N4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69" s="1">
        <f>F:F/I:I</f>
        <v>5.0638297872340425</v>
      </c>
    </row>
    <row r="470" spans="1:15" x14ac:dyDescent="0.3">
      <c r="A470">
        <v>469</v>
      </c>
      <c r="B470">
        <v>46</v>
      </c>
      <c r="C470" t="s">
        <v>11</v>
      </c>
      <c r="D470" t="s">
        <v>12</v>
      </c>
      <c r="E470" t="s">
        <v>13</v>
      </c>
      <c r="F470">
        <v>429</v>
      </c>
      <c r="G470">
        <v>7.5</v>
      </c>
      <c r="H470">
        <v>1921</v>
      </c>
      <c r="I470">
        <v>61</v>
      </c>
      <c r="J470">
        <v>1102</v>
      </c>
      <c r="K470">
        <v>4</v>
      </c>
      <c r="L470" t="s">
        <v>41</v>
      </c>
      <c r="M470" s="2">
        <f t="shared" si="7"/>
        <v>256.13333333333333</v>
      </c>
      <c r="N4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70" s="1">
        <f>F:F/I:I</f>
        <v>7.0327868852459012</v>
      </c>
    </row>
    <row r="471" spans="1:15" x14ac:dyDescent="0.3">
      <c r="A471">
        <v>470</v>
      </c>
      <c r="B471">
        <v>37</v>
      </c>
      <c r="C471" t="s">
        <v>11</v>
      </c>
      <c r="D471" t="s">
        <v>12</v>
      </c>
      <c r="E471" t="s">
        <v>13</v>
      </c>
      <c r="F471">
        <v>39</v>
      </c>
      <c r="G471">
        <v>1.9</v>
      </c>
      <c r="H471">
        <v>541</v>
      </c>
      <c r="I471">
        <v>16</v>
      </c>
      <c r="J471">
        <v>294</v>
      </c>
      <c r="K471">
        <v>1</v>
      </c>
      <c r="L471" t="s">
        <v>35</v>
      </c>
      <c r="M471" s="2">
        <f t="shared" si="7"/>
        <v>284.73684210526318</v>
      </c>
      <c r="N4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71" s="1">
        <f>F:F/I:I</f>
        <v>2.4375</v>
      </c>
    </row>
    <row r="472" spans="1:15" x14ac:dyDescent="0.3">
      <c r="A472">
        <v>471</v>
      </c>
      <c r="B472">
        <v>40</v>
      </c>
      <c r="C472" t="s">
        <v>11</v>
      </c>
      <c r="D472" t="s">
        <v>16</v>
      </c>
      <c r="E472" t="s">
        <v>13</v>
      </c>
      <c r="F472">
        <v>248</v>
      </c>
      <c r="G472">
        <v>4.5999999999999996</v>
      </c>
      <c r="H472">
        <v>1396</v>
      </c>
      <c r="I472">
        <v>52</v>
      </c>
      <c r="J472">
        <v>883</v>
      </c>
      <c r="K472">
        <v>3</v>
      </c>
      <c r="L472" t="s">
        <v>34</v>
      </c>
      <c r="M472" s="2">
        <f t="shared" si="7"/>
        <v>303.47826086956525</v>
      </c>
      <c r="N4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72" s="1">
        <f>F:F/I:I</f>
        <v>4.7692307692307692</v>
      </c>
    </row>
    <row r="473" spans="1:15" x14ac:dyDescent="0.3">
      <c r="A473">
        <v>472</v>
      </c>
      <c r="B473">
        <v>53</v>
      </c>
      <c r="C473" t="s">
        <v>14</v>
      </c>
      <c r="D473" t="s">
        <v>12</v>
      </c>
      <c r="E473" t="s">
        <v>13</v>
      </c>
      <c r="F473">
        <v>541</v>
      </c>
      <c r="G473">
        <v>9.4</v>
      </c>
      <c r="H473">
        <v>2452</v>
      </c>
      <c r="I473">
        <v>93</v>
      </c>
      <c r="J473">
        <v>1811</v>
      </c>
      <c r="K473">
        <v>5</v>
      </c>
      <c r="L473" t="s">
        <v>38</v>
      </c>
      <c r="M473" s="2">
        <f t="shared" si="7"/>
        <v>260.85106382978722</v>
      </c>
      <c r="N4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73" s="1">
        <f>F:F/I:I</f>
        <v>5.817204301075269</v>
      </c>
    </row>
    <row r="474" spans="1:15" x14ac:dyDescent="0.3">
      <c r="A474">
        <v>473</v>
      </c>
      <c r="B474">
        <v>26</v>
      </c>
      <c r="C474" t="s">
        <v>14</v>
      </c>
      <c r="D474" t="s">
        <v>12</v>
      </c>
      <c r="E474" t="s">
        <v>13</v>
      </c>
      <c r="F474">
        <v>139</v>
      </c>
      <c r="G474">
        <v>3</v>
      </c>
      <c r="H474">
        <v>697</v>
      </c>
      <c r="I474">
        <v>37</v>
      </c>
      <c r="J474">
        <v>513</v>
      </c>
      <c r="K474">
        <v>2</v>
      </c>
      <c r="L474" t="s">
        <v>36</v>
      </c>
      <c r="M474" s="2">
        <f t="shared" si="7"/>
        <v>232.33333333333334</v>
      </c>
      <c r="N4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74" s="1">
        <f>F:F/I:I</f>
        <v>3.7567567567567566</v>
      </c>
    </row>
    <row r="475" spans="1:15" x14ac:dyDescent="0.3">
      <c r="A475">
        <v>474</v>
      </c>
      <c r="B475">
        <v>29</v>
      </c>
      <c r="C475" t="s">
        <v>11</v>
      </c>
      <c r="D475" t="s">
        <v>18</v>
      </c>
      <c r="E475" t="s">
        <v>19</v>
      </c>
      <c r="F475">
        <v>289</v>
      </c>
      <c r="G475">
        <v>5</v>
      </c>
      <c r="H475">
        <v>1625</v>
      </c>
      <c r="I475">
        <v>45</v>
      </c>
      <c r="J475">
        <v>687</v>
      </c>
      <c r="K475">
        <v>3</v>
      </c>
      <c r="L475" t="s">
        <v>36</v>
      </c>
      <c r="M475" s="2">
        <f t="shared" si="7"/>
        <v>325</v>
      </c>
      <c r="N4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75" s="1">
        <f>F:F/I:I</f>
        <v>6.4222222222222225</v>
      </c>
    </row>
    <row r="476" spans="1:15" x14ac:dyDescent="0.3">
      <c r="A476">
        <v>475</v>
      </c>
      <c r="B476">
        <v>49</v>
      </c>
      <c r="C476" t="s">
        <v>14</v>
      </c>
      <c r="D476" t="s">
        <v>12</v>
      </c>
      <c r="E476" t="s">
        <v>13</v>
      </c>
      <c r="F476">
        <v>210</v>
      </c>
      <c r="G476">
        <v>4.9000000000000004</v>
      </c>
      <c r="H476">
        <v>1657</v>
      </c>
      <c r="I476">
        <v>55</v>
      </c>
      <c r="J476">
        <v>765</v>
      </c>
      <c r="K476">
        <v>3</v>
      </c>
      <c r="L476" t="s">
        <v>41</v>
      </c>
      <c r="M476" s="2">
        <f t="shared" si="7"/>
        <v>338.16326530612241</v>
      </c>
      <c r="N4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76" s="1">
        <f>F:F/I:I</f>
        <v>3.8181818181818183</v>
      </c>
    </row>
    <row r="477" spans="1:15" x14ac:dyDescent="0.3">
      <c r="A477">
        <v>476</v>
      </c>
      <c r="B477">
        <v>54</v>
      </c>
      <c r="C477" t="s">
        <v>14</v>
      </c>
      <c r="D477" t="s">
        <v>16</v>
      </c>
      <c r="E477" t="s">
        <v>13</v>
      </c>
      <c r="F477">
        <v>412</v>
      </c>
      <c r="G477">
        <v>6.2</v>
      </c>
      <c r="H477">
        <v>2201</v>
      </c>
      <c r="I477">
        <v>68</v>
      </c>
      <c r="J477">
        <v>1085</v>
      </c>
      <c r="K477">
        <v>4</v>
      </c>
      <c r="L477" t="s">
        <v>38</v>
      </c>
      <c r="M477" s="2">
        <f t="shared" si="7"/>
        <v>355</v>
      </c>
      <c r="N4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77" s="1">
        <f>F:F/I:I</f>
        <v>6.0588235294117645</v>
      </c>
    </row>
    <row r="478" spans="1:15" x14ac:dyDescent="0.3">
      <c r="A478">
        <v>477</v>
      </c>
      <c r="B478">
        <v>49</v>
      </c>
      <c r="C478" t="s">
        <v>14</v>
      </c>
      <c r="D478" t="s">
        <v>15</v>
      </c>
      <c r="E478" t="s">
        <v>13</v>
      </c>
      <c r="F478">
        <v>318</v>
      </c>
      <c r="G478">
        <v>6.6</v>
      </c>
      <c r="H478">
        <v>2089</v>
      </c>
      <c r="I478">
        <v>77</v>
      </c>
      <c r="J478">
        <v>1126</v>
      </c>
      <c r="K478">
        <v>4</v>
      </c>
      <c r="L478" t="s">
        <v>41</v>
      </c>
      <c r="M478" s="2">
        <f t="shared" si="7"/>
        <v>316.51515151515156</v>
      </c>
      <c r="N4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78" s="1">
        <f>F:F/I:I</f>
        <v>4.1298701298701301</v>
      </c>
    </row>
    <row r="479" spans="1:15" x14ac:dyDescent="0.3">
      <c r="A479">
        <v>478</v>
      </c>
      <c r="B479">
        <v>59</v>
      </c>
      <c r="C479" t="s">
        <v>14</v>
      </c>
      <c r="D479" t="s">
        <v>18</v>
      </c>
      <c r="E479" t="s">
        <v>19</v>
      </c>
      <c r="F479">
        <v>258</v>
      </c>
      <c r="G479">
        <v>4.2</v>
      </c>
      <c r="H479">
        <v>1315</v>
      </c>
      <c r="I479">
        <v>44</v>
      </c>
      <c r="J479">
        <v>762</v>
      </c>
      <c r="K479">
        <v>3</v>
      </c>
      <c r="L479" t="s">
        <v>37</v>
      </c>
      <c r="M479" s="2">
        <f t="shared" si="7"/>
        <v>313.09523809523807</v>
      </c>
      <c r="N4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79" s="1">
        <f>F:F/I:I</f>
        <v>5.8636363636363633</v>
      </c>
    </row>
    <row r="480" spans="1:15" x14ac:dyDescent="0.3">
      <c r="A480">
        <v>479</v>
      </c>
      <c r="B480">
        <v>41</v>
      </c>
      <c r="C480" t="s">
        <v>14</v>
      </c>
      <c r="D480" t="s">
        <v>17</v>
      </c>
      <c r="E480" t="s">
        <v>13</v>
      </c>
      <c r="F480">
        <v>258</v>
      </c>
      <c r="G480">
        <v>4.3</v>
      </c>
      <c r="H480">
        <v>1759</v>
      </c>
      <c r="I480">
        <v>59</v>
      </c>
      <c r="J480">
        <v>718</v>
      </c>
      <c r="K480">
        <v>3</v>
      </c>
      <c r="L480" t="s">
        <v>34</v>
      </c>
      <c r="M480" s="2">
        <f t="shared" si="7"/>
        <v>409.06976744186051</v>
      </c>
      <c r="N4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80" s="1">
        <f>F:F/I:I</f>
        <v>4.3728813559322033</v>
      </c>
    </row>
    <row r="481" spans="1:15" x14ac:dyDescent="0.3">
      <c r="A481">
        <v>480</v>
      </c>
      <c r="B481">
        <v>57</v>
      </c>
      <c r="C481" t="s">
        <v>11</v>
      </c>
      <c r="D481" t="s">
        <v>16</v>
      </c>
      <c r="E481" t="s">
        <v>13</v>
      </c>
      <c r="F481">
        <v>189</v>
      </c>
      <c r="G481">
        <v>4.8</v>
      </c>
      <c r="H481">
        <v>1681</v>
      </c>
      <c r="I481">
        <v>59</v>
      </c>
      <c r="J481">
        <v>795</v>
      </c>
      <c r="K481">
        <v>3</v>
      </c>
      <c r="L481" t="s">
        <v>37</v>
      </c>
      <c r="M481" s="2">
        <f t="shared" si="7"/>
        <v>350.20833333333337</v>
      </c>
      <c r="N4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81" s="1">
        <f>F:F/I:I</f>
        <v>3.2033898305084745</v>
      </c>
    </row>
    <row r="482" spans="1:15" x14ac:dyDescent="0.3">
      <c r="A482">
        <v>481</v>
      </c>
      <c r="B482">
        <v>51</v>
      </c>
      <c r="C482" t="s">
        <v>11</v>
      </c>
      <c r="D482" t="s">
        <v>18</v>
      </c>
      <c r="E482" t="s">
        <v>19</v>
      </c>
      <c r="F482">
        <v>155</v>
      </c>
      <c r="G482">
        <v>2.4</v>
      </c>
      <c r="H482">
        <v>954</v>
      </c>
      <c r="I482">
        <v>39</v>
      </c>
      <c r="J482">
        <v>441</v>
      </c>
      <c r="K482">
        <v>2</v>
      </c>
      <c r="L482" t="s">
        <v>38</v>
      </c>
      <c r="M482" s="2">
        <f t="shared" si="7"/>
        <v>397.5</v>
      </c>
      <c r="N4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82" s="1">
        <f>F:F/I:I</f>
        <v>3.9743589743589745</v>
      </c>
    </row>
    <row r="483" spans="1:15" x14ac:dyDescent="0.3">
      <c r="A483">
        <v>482</v>
      </c>
      <c r="B483">
        <v>34</v>
      </c>
      <c r="C483" t="s">
        <v>11</v>
      </c>
      <c r="D483" t="s">
        <v>16</v>
      </c>
      <c r="E483" t="s">
        <v>13</v>
      </c>
      <c r="F483">
        <v>528</v>
      </c>
      <c r="G483">
        <v>10.4</v>
      </c>
      <c r="H483">
        <v>2717</v>
      </c>
      <c r="I483">
        <v>87</v>
      </c>
      <c r="J483">
        <v>2140</v>
      </c>
      <c r="K483">
        <v>5</v>
      </c>
      <c r="L483" t="s">
        <v>40</v>
      </c>
      <c r="M483" s="2">
        <f t="shared" si="7"/>
        <v>261.25</v>
      </c>
      <c r="N4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83" s="1">
        <f>F:F/I:I</f>
        <v>6.068965517241379</v>
      </c>
    </row>
    <row r="484" spans="1:15" x14ac:dyDescent="0.3">
      <c r="A484">
        <v>483</v>
      </c>
      <c r="B484">
        <v>56</v>
      </c>
      <c r="C484" t="s">
        <v>11</v>
      </c>
      <c r="D484" t="s">
        <v>18</v>
      </c>
      <c r="E484" t="s">
        <v>19</v>
      </c>
      <c r="F484">
        <v>549</v>
      </c>
      <c r="G484">
        <v>11.1</v>
      </c>
      <c r="H484">
        <v>2851</v>
      </c>
      <c r="I484">
        <v>87</v>
      </c>
      <c r="J484">
        <v>1814</v>
      </c>
      <c r="K484">
        <v>5</v>
      </c>
      <c r="L484" t="s">
        <v>37</v>
      </c>
      <c r="M484" s="2">
        <f t="shared" si="7"/>
        <v>256.84684684684686</v>
      </c>
      <c r="N4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84" s="1">
        <f>F:F/I:I</f>
        <v>6.3103448275862073</v>
      </c>
    </row>
    <row r="485" spans="1:15" x14ac:dyDescent="0.3">
      <c r="A485">
        <v>484</v>
      </c>
      <c r="B485">
        <v>49</v>
      </c>
      <c r="C485" t="s">
        <v>14</v>
      </c>
      <c r="D485" t="s">
        <v>12</v>
      </c>
      <c r="E485" t="s">
        <v>13</v>
      </c>
      <c r="F485">
        <v>78</v>
      </c>
      <c r="G485">
        <v>1.6</v>
      </c>
      <c r="H485">
        <v>470</v>
      </c>
      <c r="I485">
        <v>18</v>
      </c>
      <c r="J485">
        <v>230</v>
      </c>
      <c r="K485">
        <v>1</v>
      </c>
      <c r="L485" t="s">
        <v>41</v>
      </c>
      <c r="M485" s="2">
        <f t="shared" si="7"/>
        <v>293.75</v>
      </c>
      <c r="N4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85" s="1">
        <f>F:F/I:I</f>
        <v>4.333333333333333</v>
      </c>
    </row>
    <row r="486" spans="1:15" x14ac:dyDescent="0.3">
      <c r="A486">
        <v>485</v>
      </c>
      <c r="B486">
        <v>39</v>
      </c>
      <c r="C486" t="s">
        <v>14</v>
      </c>
      <c r="D486" t="s">
        <v>18</v>
      </c>
      <c r="E486" t="s">
        <v>19</v>
      </c>
      <c r="F486">
        <v>444</v>
      </c>
      <c r="G486">
        <v>6</v>
      </c>
      <c r="H486">
        <v>1873</v>
      </c>
      <c r="I486">
        <v>61</v>
      </c>
      <c r="J486">
        <v>1093</v>
      </c>
      <c r="K486">
        <v>4</v>
      </c>
      <c r="L486" t="s">
        <v>35</v>
      </c>
      <c r="M486" s="2">
        <f t="shared" si="7"/>
        <v>312.16666666666669</v>
      </c>
      <c r="N4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86" s="1">
        <f>F:F/I:I</f>
        <v>7.278688524590164</v>
      </c>
    </row>
    <row r="487" spans="1:15" x14ac:dyDescent="0.3">
      <c r="A487">
        <v>486</v>
      </c>
      <c r="B487">
        <v>36</v>
      </c>
      <c r="C487" t="s">
        <v>11</v>
      </c>
      <c r="D487" t="s">
        <v>12</v>
      </c>
      <c r="E487" t="s">
        <v>13</v>
      </c>
      <c r="F487">
        <v>80</v>
      </c>
      <c r="G487">
        <v>1.1000000000000001</v>
      </c>
      <c r="H487">
        <v>417</v>
      </c>
      <c r="I487">
        <v>18</v>
      </c>
      <c r="J487">
        <v>298</v>
      </c>
      <c r="K487">
        <v>1</v>
      </c>
      <c r="L487" t="s">
        <v>35</v>
      </c>
      <c r="M487" s="2">
        <f t="shared" si="7"/>
        <v>379.09090909090907</v>
      </c>
      <c r="N4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87" s="1">
        <f>F:F/I:I</f>
        <v>4.4444444444444446</v>
      </c>
    </row>
    <row r="488" spans="1:15" x14ac:dyDescent="0.3">
      <c r="A488">
        <v>487</v>
      </c>
      <c r="B488">
        <v>57</v>
      </c>
      <c r="C488" t="s">
        <v>14</v>
      </c>
      <c r="D488" t="s">
        <v>18</v>
      </c>
      <c r="E488" t="s">
        <v>19</v>
      </c>
      <c r="F488">
        <v>131</v>
      </c>
      <c r="G488">
        <v>3.8</v>
      </c>
      <c r="H488">
        <v>739</v>
      </c>
      <c r="I488">
        <v>34</v>
      </c>
      <c r="J488">
        <v>330</v>
      </c>
      <c r="K488">
        <v>2</v>
      </c>
      <c r="L488" t="s">
        <v>37</v>
      </c>
      <c r="M488" s="2">
        <f t="shared" si="7"/>
        <v>194.47368421052633</v>
      </c>
      <c r="N4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88" s="1">
        <f>F:F/I:I</f>
        <v>3.8529411764705883</v>
      </c>
    </row>
    <row r="489" spans="1:15" x14ac:dyDescent="0.3">
      <c r="A489">
        <v>488</v>
      </c>
      <c r="B489">
        <v>57</v>
      </c>
      <c r="C489" t="s">
        <v>14</v>
      </c>
      <c r="D489" t="s">
        <v>18</v>
      </c>
      <c r="E489" t="s">
        <v>19</v>
      </c>
      <c r="F489">
        <v>228</v>
      </c>
      <c r="G489">
        <v>4.4000000000000004</v>
      </c>
      <c r="H489">
        <v>1734</v>
      </c>
      <c r="I489">
        <v>46</v>
      </c>
      <c r="J489">
        <v>804</v>
      </c>
      <c r="K489">
        <v>3</v>
      </c>
      <c r="L489" t="s">
        <v>37</v>
      </c>
      <c r="M489" s="2">
        <f t="shared" si="7"/>
        <v>394.09090909090907</v>
      </c>
      <c r="N4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89" s="1">
        <f>F:F/I:I</f>
        <v>4.9565217391304346</v>
      </c>
    </row>
    <row r="490" spans="1:15" x14ac:dyDescent="0.3">
      <c r="A490">
        <v>489</v>
      </c>
      <c r="B490">
        <v>32</v>
      </c>
      <c r="C490" t="s">
        <v>14</v>
      </c>
      <c r="D490" t="s">
        <v>12</v>
      </c>
      <c r="E490" t="s">
        <v>13</v>
      </c>
      <c r="F490">
        <v>416</v>
      </c>
      <c r="G490">
        <v>7.3</v>
      </c>
      <c r="H490">
        <v>1882</v>
      </c>
      <c r="I490">
        <v>62</v>
      </c>
      <c r="J490">
        <v>1333</v>
      </c>
      <c r="K490">
        <v>4</v>
      </c>
      <c r="L490" t="s">
        <v>40</v>
      </c>
      <c r="M490" s="2">
        <f t="shared" si="7"/>
        <v>257.8082191780822</v>
      </c>
      <c r="N4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490" s="1">
        <f>F:F/I:I</f>
        <v>6.709677419354839</v>
      </c>
    </row>
    <row r="491" spans="1:15" x14ac:dyDescent="0.3">
      <c r="A491">
        <v>490</v>
      </c>
      <c r="B491">
        <v>21</v>
      </c>
      <c r="C491" t="s">
        <v>11</v>
      </c>
      <c r="D491" t="s">
        <v>15</v>
      </c>
      <c r="E491" t="s">
        <v>13</v>
      </c>
      <c r="F491">
        <v>586</v>
      </c>
      <c r="G491">
        <v>9.3000000000000007</v>
      </c>
      <c r="H491">
        <v>2403</v>
      </c>
      <c r="I491">
        <v>94</v>
      </c>
      <c r="J491">
        <v>2332</v>
      </c>
      <c r="K491">
        <v>5</v>
      </c>
      <c r="L491" t="s">
        <v>39</v>
      </c>
      <c r="M491" s="2">
        <f t="shared" si="7"/>
        <v>258.38709677419354</v>
      </c>
      <c r="N4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91" s="1">
        <f>F:F/I:I</f>
        <v>6.2340425531914896</v>
      </c>
    </row>
    <row r="492" spans="1:15" x14ac:dyDescent="0.3">
      <c r="A492">
        <v>491</v>
      </c>
      <c r="B492">
        <v>47</v>
      </c>
      <c r="C492" t="s">
        <v>11</v>
      </c>
      <c r="D492" t="s">
        <v>15</v>
      </c>
      <c r="E492" t="s">
        <v>13</v>
      </c>
      <c r="F492">
        <v>416</v>
      </c>
      <c r="G492">
        <v>6.1</v>
      </c>
      <c r="H492">
        <v>2279</v>
      </c>
      <c r="I492">
        <v>71</v>
      </c>
      <c r="J492">
        <v>1096</v>
      </c>
      <c r="K492">
        <v>4</v>
      </c>
      <c r="L492" t="s">
        <v>41</v>
      </c>
      <c r="M492" s="2">
        <f t="shared" si="7"/>
        <v>373.60655737704923</v>
      </c>
      <c r="N4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492" s="1">
        <f>F:F/I:I</f>
        <v>5.859154929577465</v>
      </c>
    </row>
    <row r="493" spans="1:15" x14ac:dyDescent="0.3">
      <c r="A493">
        <v>492</v>
      </c>
      <c r="B493">
        <v>53</v>
      </c>
      <c r="C493" t="s">
        <v>14</v>
      </c>
      <c r="D493" t="s">
        <v>18</v>
      </c>
      <c r="E493" t="s">
        <v>19</v>
      </c>
      <c r="F493">
        <v>152</v>
      </c>
      <c r="G493">
        <v>3.7</v>
      </c>
      <c r="H493">
        <v>948</v>
      </c>
      <c r="I493">
        <v>22</v>
      </c>
      <c r="J493">
        <v>507</v>
      </c>
      <c r="K493">
        <v>2</v>
      </c>
      <c r="L493" t="s">
        <v>38</v>
      </c>
      <c r="M493" s="2">
        <f t="shared" si="7"/>
        <v>256.2162162162162</v>
      </c>
      <c r="N4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493" s="1">
        <f>F:F/I:I</f>
        <v>6.9090909090909092</v>
      </c>
    </row>
    <row r="494" spans="1:15" x14ac:dyDescent="0.3">
      <c r="A494">
        <v>493</v>
      </c>
      <c r="B494">
        <v>36</v>
      </c>
      <c r="C494" t="s">
        <v>14</v>
      </c>
      <c r="D494" t="s">
        <v>12</v>
      </c>
      <c r="E494" t="s">
        <v>13</v>
      </c>
      <c r="F494">
        <v>87</v>
      </c>
      <c r="G494">
        <v>1.5</v>
      </c>
      <c r="H494">
        <v>594</v>
      </c>
      <c r="I494">
        <v>19</v>
      </c>
      <c r="J494">
        <v>198</v>
      </c>
      <c r="K494">
        <v>1</v>
      </c>
      <c r="L494" t="s">
        <v>35</v>
      </c>
      <c r="M494" s="2">
        <f t="shared" si="7"/>
        <v>396</v>
      </c>
      <c r="N4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494" s="1">
        <f>F:F/I:I</f>
        <v>4.5789473684210522</v>
      </c>
    </row>
    <row r="495" spans="1:15" x14ac:dyDescent="0.3">
      <c r="A495">
        <v>494</v>
      </c>
      <c r="B495">
        <v>23</v>
      </c>
      <c r="C495" t="s">
        <v>11</v>
      </c>
      <c r="D495" t="s">
        <v>17</v>
      </c>
      <c r="E495" t="s">
        <v>13</v>
      </c>
      <c r="F495">
        <v>329</v>
      </c>
      <c r="G495">
        <v>6.8</v>
      </c>
      <c r="H495">
        <v>1892</v>
      </c>
      <c r="I495">
        <v>69</v>
      </c>
      <c r="J495">
        <v>1383</v>
      </c>
      <c r="K495">
        <v>4</v>
      </c>
      <c r="L495" t="s">
        <v>39</v>
      </c>
      <c r="M495" s="2">
        <f t="shared" si="7"/>
        <v>278.23529411764707</v>
      </c>
      <c r="N4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95" s="1">
        <f>F:F/I:I</f>
        <v>4.7681159420289854</v>
      </c>
    </row>
    <row r="496" spans="1:15" x14ac:dyDescent="0.3">
      <c r="A496">
        <v>495</v>
      </c>
      <c r="B496">
        <v>29</v>
      </c>
      <c r="C496" t="s">
        <v>14</v>
      </c>
      <c r="D496" t="s">
        <v>16</v>
      </c>
      <c r="E496" t="s">
        <v>13</v>
      </c>
      <c r="F496">
        <v>107</v>
      </c>
      <c r="G496">
        <v>2.5</v>
      </c>
      <c r="H496">
        <v>1176</v>
      </c>
      <c r="I496">
        <v>24</v>
      </c>
      <c r="J496">
        <v>545</v>
      </c>
      <c r="K496">
        <v>2</v>
      </c>
      <c r="L496" t="s">
        <v>36</v>
      </c>
      <c r="M496" s="2">
        <f t="shared" si="7"/>
        <v>470.4</v>
      </c>
      <c r="N4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496" s="1">
        <f>F:F/I:I</f>
        <v>4.458333333333333</v>
      </c>
    </row>
    <row r="497" spans="1:15" x14ac:dyDescent="0.3">
      <c r="A497">
        <v>496</v>
      </c>
      <c r="B497">
        <v>57</v>
      </c>
      <c r="C497" t="s">
        <v>11</v>
      </c>
      <c r="D497" t="s">
        <v>15</v>
      </c>
      <c r="E497" t="s">
        <v>13</v>
      </c>
      <c r="F497">
        <v>493</v>
      </c>
      <c r="G497">
        <v>10.9</v>
      </c>
      <c r="H497">
        <v>2928</v>
      </c>
      <c r="I497">
        <v>88</v>
      </c>
      <c r="J497">
        <v>2116</v>
      </c>
      <c r="K497">
        <v>5</v>
      </c>
      <c r="L497" t="s">
        <v>37</v>
      </c>
      <c r="M497" s="2">
        <f t="shared" si="7"/>
        <v>268.62385321100919</v>
      </c>
      <c r="N4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497" s="1">
        <f>F:F/I:I</f>
        <v>5.6022727272727275</v>
      </c>
    </row>
    <row r="498" spans="1:15" x14ac:dyDescent="0.3">
      <c r="A498">
        <v>497</v>
      </c>
      <c r="B498">
        <v>43</v>
      </c>
      <c r="C498" t="s">
        <v>14</v>
      </c>
      <c r="D498" t="s">
        <v>18</v>
      </c>
      <c r="E498" t="s">
        <v>19</v>
      </c>
      <c r="F498">
        <v>182</v>
      </c>
      <c r="G498">
        <v>4.8</v>
      </c>
      <c r="H498">
        <v>1500</v>
      </c>
      <c r="I498">
        <v>51</v>
      </c>
      <c r="J498">
        <v>807</v>
      </c>
      <c r="K498">
        <v>3</v>
      </c>
      <c r="L498" t="s">
        <v>34</v>
      </c>
      <c r="M498" s="2">
        <f t="shared" si="7"/>
        <v>312.5</v>
      </c>
      <c r="N4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498" s="1">
        <f>F:F/I:I</f>
        <v>3.5686274509803924</v>
      </c>
    </row>
    <row r="499" spans="1:15" x14ac:dyDescent="0.3">
      <c r="A499">
        <v>498</v>
      </c>
      <c r="B499">
        <v>20</v>
      </c>
      <c r="C499" t="s">
        <v>14</v>
      </c>
      <c r="D499" t="s">
        <v>18</v>
      </c>
      <c r="E499" t="s">
        <v>19</v>
      </c>
      <c r="F499">
        <v>102</v>
      </c>
      <c r="G499">
        <v>2.9</v>
      </c>
      <c r="H499">
        <v>918</v>
      </c>
      <c r="I499">
        <v>37</v>
      </c>
      <c r="J499">
        <v>362</v>
      </c>
      <c r="K499">
        <v>2</v>
      </c>
      <c r="L499" t="s">
        <v>39</v>
      </c>
      <c r="M499" s="2">
        <f t="shared" si="7"/>
        <v>316.55172413793105</v>
      </c>
      <c r="N4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499" s="1">
        <f>F:F/I:I</f>
        <v>2.7567567567567566</v>
      </c>
    </row>
    <row r="500" spans="1:15" x14ac:dyDescent="0.3">
      <c r="A500">
        <v>499</v>
      </c>
      <c r="B500">
        <v>53</v>
      </c>
      <c r="C500" t="s">
        <v>11</v>
      </c>
      <c r="D500" t="s">
        <v>15</v>
      </c>
      <c r="E500" t="s">
        <v>13</v>
      </c>
      <c r="F500">
        <v>274</v>
      </c>
      <c r="G500">
        <v>4.5</v>
      </c>
      <c r="H500">
        <v>1356</v>
      </c>
      <c r="I500">
        <v>54</v>
      </c>
      <c r="J500">
        <v>869</v>
      </c>
      <c r="K500">
        <v>3</v>
      </c>
      <c r="L500" t="s">
        <v>38</v>
      </c>
      <c r="M500" s="2">
        <f t="shared" si="7"/>
        <v>301.33333333333331</v>
      </c>
      <c r="N5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00" s="1">
        <f>F:F/I:I</f>
        <v>5.0740740740740744</v>
      </c>
    </row>
    <row r="501" spans="1:15" x14ac:dyDescent="0.3">
      <c r="A501">
        <v>500</v>
      </c>
      <c r="B501">
        <v>45</v>
      </c>
      <c r="C501" t="s">
        <v>14</v>
      </c>
      <c r="D501" t="s">
        <v>18</v>
      </c>
      <c r="E501" t="s">
        <v>19</v>
      </c>
      <c r="F501">
        <v>143</v>
      </c>
      <c r="G501">
        <v>3.6</v>
      </c>
      <c r="H501">
        <v>988</v>
      </c>
      <c r="I501">
        <v>26</v>
      </c>
      <c r="J501">
        <v>504</v>
      </c>
      <c r="K501">
        <v>2</v>
      </c>
      <c r="L501" t="s">
        <v>41</v>
      </c>
      <c r="M501" s="2">
        <f t="shared" si="7"/>
        <v>274.44444444444446</v>
      </c>
      <c r="N5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01" s="1">
        <f>F:F/I:I</f>
        <v>5.5</v>
      </c>
    </row>
    <row r="502" spans="1:15" x14ac:dyDescent="0.3">
      <c r="A502">
        <v>501</v>
      </c>
      <c r="B502">
        <v>32</v>
      </c>
      <c r="C502" t="s">
        <v>11</v>
      </c>
      <c r="D502" t="s">
        <v>15</v>
      </c>
      <c r="E502" t="s">
        <v>13</v>
      </c>
      <c r="F502">
        <v>66</v>
      </c>
      <c r="G502">
        <v>1.3</v>
      </c>
      <c r="H502">
        <v>369</v>
      </c>
      <c r="I502">
        <v>14</v>
      </c>
      <c r="J502">
        <v>195</v>
      </c>
      <c r="K502">
        <v>1</v>
      </c>
      <c r="L502" t="s">
        <v>40</v>
      </c>
      <c r="M502" s="2">
        <f t="shared" si="7"/>
        <v>283.84615384615381</v>
      </c>
      <c r="N5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02" s="1">
        <f>F:F/I:I</f>
        <v>4.7142857142857144</v>
      </c>
    </row>
    <row r="503" spans="1:15" x14ac:dyDescent="0.3">
      <c r="A503">
        <v>502</v>
      </c>
      <c r="B503">
        <v>24</v>
      </c>
      <c r="C503" t="s">
        <v>14</v>
      </c>
      <c r="D503" t="s">
        <v>12</v>
      </c>
      <c r="E503" t="s">
        <v>13</v>
      </c>
      <c r="F503">
        <v>420</v>
      </c>
      <c r="G503">
        <v>7.7</v>
      </c>
      <c r="H503">
        <v>2017</v>
      </c>
      <c r="I503">
        <v>74</v>
      </c>
      <c r="J503">
        <v>1187</v>
      </c>
      <c r="K503">
        <v>4</v>
      </c>
      <c r="L503" t="s">
        <v>39</v>
      </c>
      <c r="M503" s="2">
        <f t="shared" si="7"/>
        <v>261.94805194805195</v>
      </c>
      <c r="N5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03" s="1">
        <f>F:F/I:I</f>
        <v>5.6756756756756754</v>
      </c>
    </row>
    <row r="504" spans="1:15" x14ac:dyDescent="0.3">
      <c r="A504">
        <v>503</v>
      </c>
      <c r="B504">
        <v>55</v>
      </c>
      <c r="C504" t="s">
        <v>14</v>
      </c>
      <c r="D504" t="s">
        <v>12</v>
      </c>
      <c r="E504" t="s">
        <v>13</v>
      </c>
      <c r="F504">
        <v>582</v>
      </c>
      <c r="G504">
        <v>8.4</v>
      </c>
      <c r="H504">
        <v>2664</v>
      </c>
      <c r="I504">
        <v>91</v>
      </c>
      <c r="J504">
        <v>2493</v>
      </c>
      <c r="K504">
        <v>5</v>
      </c>
      <c r="L504" t="s">
        <v>37</v>
      </c>
      <c r="M504" s="2">
        <f t="shared" si="7"/>
        <v>317.14285714285711</v>
      </c>
      <c r="N5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04" s="1">
        <f>F:F/I:I</f>
        <v>6.395604395604396</v>
      </c>
    </row>
    <row r="505" spans="1:15" x14ac:dyDescent="0.3">
      <c r="A505">
        <v>504</v>
      </c>
      <c r="B505">
        <v>52</v>
      </c>
      <c r="C505" t="s">
        <v>11</v>
      </c>
      <c r="D505" t="s">
        <v>15</v>
      </c>
      <c r="E505" t="s">
        <v>13</v>
      </c>
      <c r="F505">
        <v>200</v>
      </c>
      <c r="G505">
        <v>5.8</v>
      </c>
      <c r="H505">
        <v>1291</v>
      </c>
      <c r="I505">
        <v>50</v>
      </c>
      <c r="J505">
        <v>965</v>
      </c>
      <c r="K505">
        <v>3</v>
      </c>
      <c r="L505" t="s">
        <v>38</v>
      </c>
      <c r="M505" s="2">
        <f t="shared" si="7"/>
        <v>222.58620689655174</v>
      </c>
      <c r="N5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05" s="1">
        <f>F:F/I:I</f>
        <v>4</v>
      </c>
    </row>
    <row r="506" spans="1:15" x14ac:dyDescent="0.3">
      <c r="A506">
        <v>505</v>
      </c>
      <c r="B506">
        <v>47</v>
      </c>
      <c r="C506" t="s">
        <v>11</v>
      </c>
      <c r="D506" t="s">
        <v>15</v>
      </c>
      <c r="E506" t="s">
        <v>13</v>
      </c>
      <c r="F506">
        <v>493</v>
      </c>
      <c r="G506">
        <v>8.5</v>
      </c>
      <c r="H506">
        <v>2859</v>
      </c>
      <c r="I506">
        <v>99</v>
      </c>
      <c r="J506">
        <v>2450</v>
      </c>
      <c r="K506">
        <v>5</v>
      </c>
      <c r="L506" t="s">
        <v>41</v>
      </c>
      <c r="M506" s="2">
        <f t="shared" si="7"/>
        <v>336.35294117647061</v>
      </c>
      <c r="N5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06" s="1">
        <f>F:F/I:I</f>
        <v>4.9797979797979801</v>
      </c>
    </row>
    <row r="507" spans="1:15" x14ac:dyDescent="0.3">
      <c r="A507">
        <v>506</v>
      </c>
      <c r="B507">
        <v>49</v>
      </c>
      <c r="C507" t="s">
        <v>14</v>
      </c>
      <c r="D507" t="s">
        <v>16</v>
      </c>
      <c r="E507" t="s">
        <v>13</v>
      </c>
      <c r="F507">
        <v>348</v>
      </c>
      <c r="G507">
        <v>6.6</v>
      </c>
      <c r="H507">
        <v>2398</v>
      </c>
      <c r="I507">
        <v>66</v>
      </c>
      <c r="J507">
        <v>1415</v>
      </c>
      <c r="K507">
        <v>4</v>
      </c>
      <c r="L507" t="s">
        <v>41</v>
      </c>
      <c r="M507" s="2">
        <f t="shared" si="7"/>
        <v>363.33333333333337</v>
      </c>
      <c r="N5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07" s="1">
        <f>F:F/I:I</f>
        <v>5.2727272727272725</v>
      </c>
    </row>
    <row r="508" spans="1:15" x14ac:dyDescent="0.3">
      <c r="A508">
        <v>507</v>
      </c>
      <c r="B508">
        <v>27</v>
      </c>
      <c r="C508" t="s">
        <v>11</v>
      </c>
      <c r="D508" t="s">
        <v>12</v>
      </c>
      <c r="E508" t="s">
        <v>13</v>
      </c>
      <c r="F508">
        <v>238</v>
      </c>
      <c r="G508">
        <v>5.0999999999999996</v>
      </c>
      <c r="H508">
        <v>1408</v>
      </c>
      <c r="I508">
        <v>45</v>
      </c>
      <c r="J508">
        <v>941</v>
      </c>
      <c r="K508">
        <v>3</v>
      </c>
      <c r="L508" t="s">
        <v>36</v>
      </c>
      <c r="M508" s="2">
        <f t="shared" si="7"/>
        <v>276.07843137254906</v>
      </c>
      <c r="N5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08" s="1">
        <f>F:F/I:I</f>
        <v>5.2888888888888888</v>
      </c>
    </row>
    <row r="509" spans="1:15" x14ac:dyDescent="0.3">
      <c r="A509">
        <v>508</v>
      </c>
      <c r="B509">
        <v>42</v>
      </c>
      <c r="C509" t="s">
        <v>14</v>
      </c>
      <c r="D509" t="s">
        <v>12</v>
      </c>
      <c r="E509" t="s">
        <v>13</v>
      </c>
      <c r="F509">
        <v>33</v>
      </c>
      <c r="G509">
        <v>2</v>
      </c>
      <c r="H509">
        <v>318</v>
      </c>
      <c r="I509">
        <v>11</v>
      </c>
      <c r="J509">
        <v>173</v>
      </c>
      <c r="K509">
        <v>1</v>
      </c>
      <c r="L509" t="s">
        <v>34</v>
      </c>
      <c r="M509" s="2">
        <f t="shared" si="7"/>
        <v>159</v>
      </c>
      <c r="N5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09" s="1">
        <f>F:F/I:I</f>
        <v>3</v>
      </c>
    </row>
    <row r="510" spans="1:15" x14ac:dyDescent="0.3">
      <c r="A510">
        <v>509</v>
      </c>
      <c r="B510">
        <v>22</v>
      </c>
      <c r="C510" t="s">
        <v>11</v>
      </c>
      <c r="D510" t="s">
        <v>15</v>
      </c>
      <c r="E510" t="s">
        <v>13</v>
      </c>
      <c r="F510">
        <v>267</v>
      </c>
      <c r="G510">
        <v>5.9</v>
      </c>
      <c r="H510">
        <v>1740</v>
      </c>
      <c r="I510">
        <v>45</v>
      </c>
      <c r="J510">
        <v>791</v>
      </c>
      <c r="K510">
        <v>3</v>
      </c>
      <c r="L510" t="s">
        <v>39</v>
      </c>
      <c r="M510" s="2">
        <f t="shared" si="7"/>
        <v>294.91525423728814</v>
      </c>
      <c r="N5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10" s="1">
        <f>F:F/I:I</f>
        <v>5.9333333333333336</v>
      </c>
    </row>
    <row r="511" spans="1:15" x14ac:dyDescent="0.3">
      <c r="A511">
        <v>510</v>
      </c>
      <c r="B511">
        <v>31</v>
      </c>
      <c r="C511" t="s">
        <v>11</v>
      </c>
      <c r="D511" t="s">
        <v>18</v>
      </c>
      <c r="E511" t="s">
        <v>19</v>
      </c>
      <c r="F511">
        <v>492</v>
      </c>
      <c r="G511">
        <v>10</v>
      </c>
      <c r="H511">
        <v>2513</v>
      </c>
      <c r="I511">
        <v>90</v>
      </c>
      <c r="J511">
        <v>1968</v>
      </c>
      <c r="K511">
        <v>5</v>
      </c>
      <c r="L511" t="s">
        <v>40</v>
      </c>
      <c r="M511" s="2">
        <f t="shared" si="7"/>
        <v>251.3</v>
      </c>
      <c r="N5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11" s="1">
        <f>F:F/I:I</f>
        <v>5.4666666666666668</v>
      </c>
    </row>
    <row r="512" spans="1:15" x14ac:dyDescent="0.3">
      <c r="A512">
        <v>511</v>
      </c>
      <c r="B512">
        <v>38</v>
      </c>
      <c r="C512" t="s">
        <v>14</v>
      </c>
      <c r="D512" t="s">
        <v>15</v>
      </c>
      <c r="E512" t="s">
        <v>13</v>
      </c>
      <c r="F512">
        <v>241</v>
      </c>
      <c r="G512">
        <v>5.3</v>
      </c>
      <c r="H512">
        <v>1767</v>
      </c>
      <c r="I512">
        <v>58</v>
      </c>
      <c r="J512">
        <v>976</v>
      </c>
      <c r="K512">
        <v>3</v>
      </c>
      <c r="L512" t="s">
        <v>35</v>
      </c>
      <c r="M512" s="2">
        <f t="shared" si="7"/>
        <v>333.39622641509436</v>
      </c>
      <c r="N5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12" s="1">
        <f>F:F/I:I</f>
        <v>4.1551724137931032</v>
      </c>
    </row>
    <row r="513" spans="1:15" x14ac:dyDescent="0.3">
      <c r="A513">
        <v>512</v>
      </c>
      <c r="B513">
        <v>39</v>
      </c>
      <c r="C513" t="s">
        <v>11</v>
      </c>
      <c r="D513" t="s">
        <v>16</v>
      </c>
      <c r="E513" t="s">
        <v>13</v>
      </c>
      <c r="F513">
        <v>567</v>
      </c>
      <c r="G513">
        <v>10.8</v>
      </c>
      <c r="H513">
        <v>2911</v>
      </c>
      <c r="I513">
        <v>89</v>
      </c>
      <c r="J513">
        <v>1682</v>
      </c>
      <c r="K513">
        <v>5</v>
      </c>
      <c r="L513" t="s">
        <v>35</v>
      </c>
      <c r="M513" s="2">
        <f t="shared" si="7"/>
        <v>269.53703703703701</v>
      </c>
      <c r="N5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13" s="1">
        <f>F:F/I:I</f>
        <v>6.3707865168539328</v>
      </c>
    </row>
    <row r="514" spans="1:15" x14ac:dyDescent="0.3">
      <c r="A514">
        <v>513</v>
      </c>
      <c r="B514">
        <v>34</v>
      </c>
      <c r="C514" t="s">
        <v>11</v>
      </c>
      <c r="D514" t="s">
        <v>16</v>
      </c>
      <c r="E514" t="s">
        <v>13</v>
      </c>
      <c r="F514">
        <v>36</v>
      </c>
      <c r="G514">
        <v>1.6</v>
      </c>
      <c r="H514">
        <v>442</v>
      </c>
      <c r="I514">
        <v>17</v>
      </c>
      <c r="J514">
        <v>249</v>
      </c>
      <c r="K514">
        <v>1</v>
      </c>
      <c r="L514" t="s">
        <v>40</v>
      </c>
      <c r="M514" s="2">
        <f t="shared" ref="M514:M577" si="8">H:H/G:G</f>
        <v>276.25</v>
      </c>
      <c r="N5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14" s="1">
        <f>F:F/I:I</f>
        <v>2.1176470588235294</v>
      </c>
    </row>
    <row r="515" spans="1:15" x14ac:dyDescent="0.3">
      <c r="A515">
        <v>514</v>
      </c>
      <c r="B515">
        <v>57</v>
      </c>
      <c r="C515" t="s">
        <v>14</v>
      </c>
      <c r="D515" t="s">
        <v>17</v>
      </c>
      <c r="E515" t="s">
        <v>13</v>
      </c>
      <c r="F515">
        <v>110</v>
      </c>
      <c r="G515">
        <v>3.4</v>
      </c>
      <c r="H515">
        <v>975</v>
      </c>
      <c r="I515">
        <v>31</v>
      </c>
      <c r="J515">
        <v>507</v>
      </c>
      <c r="K515">
        <v>2</v>
      </c>
      <c r="L515" t="s">
        <v>37</v>
      </c>
      <c r="M515" s="2">
        <f t="shared" si="8"/>
        <v>286.76470588235293</v>
      </c>
      <c r="N5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15" s="1">
        <f>F:F/I:I</f>
        <v>3.5483870967741935</v>
      </c>
    </row>
    <row r="516" spans="1:15" x14ac:dyDescent="0.3">
      <c r="A516">
        <v>515</v>
      </c>
      <c r="B516">
        <v>54</v>
      </c>
      <c r="C516" t="s">
        <v>11</v>
      </c>
      <c r="D516" t="s">
        <v>16</v>
      </c>
      <c r="E516" t="s">
        <v>13</v>
      </c>
      <c r="F516">
        <v>466</v>
      </c>
      <c r="G516">
        <v>7.1</v>
      </c>
      <c r="H516">
        <v>1984</v>
      </c>
      <c r="I516">
        <v>73</v>
      </c>
      <c r="J516">
        <v>1461</v>
      </c>
      <c r="K516">
        <v>4</v>
      </c>
      <c r="L516" t="s">
        <v>38</v>
      </c>
      <c r="M516" s="2">
        <f t="shared" si="8"/>
        <v>279.43661971830988</v>
      </c>
      <c r="N5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16" s="1">
        <f>F:F/I:I</f>
        <v>6.3835616438356162</v>
      </c>
    </row>
    <row r="517" spans="1:15" x14ac:dyDescent="0.3">
      <c r="A517">
        <v>516</v>
      </c>
      <c r="B517">
        <v>25</v>
      </c>
      <c r="C517" t="s">
        <v>11</v>
      </c>
      <c r="D517" t="s">
        <v>17</v>
      </c>
      <c r="E517" t="s">
        <v>13</v>
      </c>
      <c r="F517">
        <v>126</v>
      </c>
      <c r="G517">
        <v>2.2000000000000002</v>
      </c>
      <c r="H517">
        <v>1187</v>
      </c>
      <c r="I517">
        <v>28</v>
      </c>
      <c r="J517">
        <v>599</v>
      </c>
      <c r="K517">
        <v>2</v>
      </c>
      <c r="L517" t="s">
        <v>36</v>
      </c>
      <c r="M517" s="2">
        <f t="shared" si="8"/>
        <v>539.5454545454545</v>
      </c>
      <c r="N5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17" s="1">
        <f>F:F/I:I</f>
        <v>4.5</v>
      </c>
    </row>
    <row r="518" spans="1:15" x14ac:dyDescent="0.3">
      <c r="A518">
        <v>517</v>
      </c>
      <c r="B518">
        <v>44</v>
      </c>
      <c r="C518" t="s">
        <v>11</v>
      </c>
      <c r="D518" t="s">
        <v>12</v>
      </c>
      <c r="E518" t="s">
        <v>13</v>
      </c>
      <c r="F518">
        <v>120</v>
      </c>
      <c r="G518">
        <v>3.8</v>
      </c>
      <c r="H518">
        <v>940</v>
      </c>
      <c r="I518">
        <v>36</v>
      </c>
      <c r="J518">
        <v>535</v>
      </c>
      <c r="K518">
        <v>2</v>
      </c>
      <c r="L518" t="s">
        <v>34</v>
      </c>
      <c r="M518" s="2">
        <f t="shared" si="8"/>
        <v>247.36842105263159</v>
      </c>
      <c r="N5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18" s="1">
        <f>F:F/I:I</f>
        <v>3.3333333333333335</v>
      </c>
    </row>
    <row r="519" spans="1:15" x14ac:dyDescent="0.3">
      <c r="A519">
        <v>518</v>
      </c>
      <c r="B519">
        <v>25</v>
      </c>
      <c r="C519" t="s">
        <v>11</v>
      </c>
      <c r="D519" t="s">
        <v>18</v>
      </c>
      <c r="E519" t="s">
        <v>19</v>
      </c>
      <c r="F519">
        <v>64</v>
      </c>
      <c r="G519">
        <v>1.2</v>
      </c>
      <c r="H519">
        <v>592</v>
      </c>
      <c r="I519">
        <v>19</v>
      </c>
      <c r="J519">
        <v>218</v>
      </c>
      <c r="K519">
        <v>1</v>
      </c>
      <c r="L519" t="s">
        <v>36</v>
      </c>
      <c r="M519" s="2">
        <f t="shared" si="8"/>
        <v>493.33333333333337</v>
      </c>
      <c r="N5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19" s="1">
        <f>F:F/I:I</f>
        <v>3.3684210526315788</v>
      </c>
    </row>
    <row r="520" spans="1:15" x14ac:dyDescent="0.3">
      <c r="A520">
        <v>519</v>
      </c>
      <c r="B520">
        <v>34</v>
      </c>
      <c r="C520" t="s">
        <v>14</v>
      </c>
      <c r="D520" t="s">
        <v>17</v>
      </c>
      <c r="E520" t="s">
        <v>13</v>
      </c>
      <c r="F520">
        <v>574</v>
      </c>
      <c r="G520">
        <v>8.5</v>
      </c>
      <c r="H520">
        <v>2780</v>
      </c>
      <c r="I520">
        <v>87</v>
      </c>
      <c r="J520">
        <v>1809</v>
      </c>
      <c r="K520">
        <v>5</v>
      </c>
      <c r="L520" t="s">
        <v>40</v>
      </c>
      <c r="M520" s="2">
        <f t="shared" si="8"/>
        <v>327.05882352941177</v>
      </c>
      <c r="N5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20" s="1">
        <f>F:F/I:I</f>
        <v>6.5977011494252871</v>
      </c>
    </row>
    <row r="521" spans="1:15" x14ac:dyDescent="0.3">
      <c r="A521">
        <v>520</v>
      </c>
      <c r="B521">
        <v>51</v>
      </c>
      <c r="C521" t="s">
        <v>11</v>
      </c>
      <c r="D521" t="s">
        <v>17</v>
      </c>
      <c r="E521" t="s">
        <v>13</v>
      </c>
      <c r="F521">
        <v>119</v>
      </c>
      <c r="G521">
        <v>2.2000000000000002</v>
      </c>
      <c r="H521">
        <v>1123</v>
      </c>
      <c r="I521">
        <v>22</v>
      </c>
      <c r="J521">
        <v>371</v>
      </c>
      <c r="K521">
        <v>2</v>
      </c>
      <c r="L521" t="s">
        <v>38</v>
      </c>
      <c r="M521" s="2">
        <f t="shared" si="8"/>
        <v>510.45454545454544</v>
      </c>
      <c r="N5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21" s="1">
        <f>F:F/I:I</f>
        <v>5.4090909090909092</v>
      </c>
    </row>
    <row r="522" spans="1:15" x14ac:dyDescent="0.3">
      <c r="A522">
        <v>521</v>
      </c>
      <c r="B522">
        <v>20</v>
      </c>
      <c r="C522" t="s">
        <v>11</v>
      </c>
      <c r="D522" t="s">
        <v>17</v>
      </c>
      <c r="E522" t="s">
        <v>13</v>
      </c>
      <c r="F522">
        <v>350</v>
      </c>
      <c r="G522">
        <v>6.5</v>
      </c>
      <c r="H522">
        <v>2364</v>
      </c>
      <c r="I522">
        <v>75</v>
      </c>
      <c r="J522">
        <v>1485</v>
      </c>
      <c r="K522">
        <v>4</v>
      </c>
      <c r="L522" t="s">
        <v>39</v>
      </c>
      <c r="M522" s="2">
        <f t="shared" si="8"/>
        <v>363.69230769230768</v>
      </c>
      <c r="N5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22" s="1">
        <f>F:F/I:I</f>
        <v>4.666666666666667</v>
      </c>
    </row>
    <row r="523" spans="1:15" x14ac:dyDescent="0.3">
      <c r="A523">
        <v>522</v>
      </c>
      <c r="B523">
        <v>25</v>
      </c>
      <c r="C523" t="s">
        <v>11</v>
      </c>
      <c r="D523" t="s">
        <v>15</v>
      </c>
      <c r="E523" t="s">
        <v>13</v>
      </c>
      <c r="F523">
        <v>69</v>
      </c>
      <c r="G523">
        <v>1.1000000000000001</v>
      </c>
      <c r="H523">
        <v>535</v>
      </c>
      <c r="I523">
        <v>17</v>
      </c>
      <c r="J523">
        <v>250</v>
      </c>
      <c r="K523">
        <v>1</v>
      </c>
      <c r="L523" t="s">
        <v>36</v>
      </c>
      <c r="M523" s="2">
        <f t="shared" si="8"/>
        <v>486.36363636363632</v>
      </c>
      <c r="N5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23" s="1">
        <f>F:F/I:I</f>
        <v>4.0588235294117645</v>
      </c>
    </row>
    <row r="524" spans="1:15" x14ac:dyDescent="0.3">
      <c r="A524">
        <v>523</v>
      </c>
      <c r="B524">
        <v>49</v>
      </c>
      <c r="C524" t="s">
        <v>14</v>
      </c>
      <c r="D524" t="s">
        <v>12</v>
      </c>
      <c r="E524" t="s">
        <v>13</v>
      </c>
      <c r="F524">
        <v>438</v>
      </c>
      <c r="G524">
        <v>6.5</v>
      </c>
      <c r="H524">
        <v>1849</v>
      </c>
      <c r="I524">
        <v>64</v>
      </c>
      <c r="J524">
        <v>1125</v>
      </c>
      <c r="K524">
        <v>4</v>
      </c>
      <c r="L524" t="s">
        <v>41</v>
      </c>
      <c r="M524" s="2">
        <f t="shared" si="8"/>
        <v>284.46153846153845</v>
      </c>
      <c r="N5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24" s="1">
        <f>F:F/I:I</f>
        <v>6.84375</v>
      </c>
    </row>
    <row r="525" spans="1:15" x14ac:dyDescent="0.3">
      <c r="A525">
        <v>524</v>
      </c>
      <c r="B525">
        <v>48</v>
      </c>
      <c r="C525" t="s">
        <v>11</v>
      </c>
      <c r="D525" t="s">
        <v>16</v>
      </c>
      <c r="E525" t="s">
        <v>13</v>
      </c>
      <c r="F525">
        <v>506</v>
      </c>
      <c r="G525">
        <v>11.2</v>
      </c>
      <c r="H525">
        <v>2623</v>
      </c>
      <c r="I525">
        <v>98</v>
      </c>
      <c r="J525">
        <v>2460</v>
      </c>
      <c r="K525">
        <v>5</v>
      </c>
      <c r="L525" t="s">
        <v>41</v>
      </c>
      <c r="M525" s="2">
        <f t="shared" si="8"/>
        <v>234.19642857142858</v>
      </c>
      <c r="N5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25" s="1">
        <f>F:F/I:I</f>
        <v>5.1632653061224492</v>
      </c>
    </row>
    <row r="526" spans="1:15" x14ac:dyDescent="0.3">
      <c r="A526">
        <v>525</v>
      </c>
      <c r="B526">
        <v>57</v>
      </c>
      <c r="C526" t="s">
        <v>14</v>
      </c>
      <c r="D526" t="s">
        <v>16</v>
      </c>
      <c r="E526" t="s">
        <v>13</v>
      </c>
      <c r="F526">
        <v>272</v>
      </c>
      <c r="G526">
        <v>5.2</v>
      </c>
      <c r="H526">
        <v>1390</v>
      </c>
      <c r="I526">
        <v>45</v>
      </c>
      <c r="J526">
        <v>792</v>
      </c>
      <c r="K526">
        <v>3</v>
      </c>
      <c r="L526" t="s">
        <v>37</v>
      </c>
      <c r="M526" s="2">
        <f t="shared" si="8"/>
        <v>267.30769230769232</v>
      </c>
      <c r="N5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26" s="1">
        <f>F:F/I:I</f>
        <v>6.0444444444444443</v>
      </c>
    </row>
    <row r="527" spans="1:15" x14ac:dyDescent="0.3">
      <c r="A527">
        <v>526</v>
      </c>
      <c r="B527">
        <v>59</v>
      </c>
      <c r="C527" t="s">
        <v>11</v>
      </c>
      <c r="D527" t="s">
        <v>16</v>
      </c>
      <c r="E527" t="s">
        <v>13</v>
      </c>
      <c r="F527">
        <v>224</v>
      </c>
      <c r="G527">
        <v>4.5</v>
      </c>
      <c r="H527">
        <v>1646</v>
      </c>
      <c r="I527">
        <v>57</v>
      </c>
      <c r="J527">
        <v>665</v>
      </c>
      <c r="K527">
        <v>3</v>
      </c>
      <c r="L527" t="s">
        <v>37</v>
      </c>
      <c r="M527" s="2">
        <f t="shared" si="8"/>
        <v>365.77777777777777</v>
      </c>
      <c r="N5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27" s="1">
        <f>F:F/I:I</f>
        <v>3.9298245614035086</v>
      </c>
    </row>
    <row r="528" spans="1:15" x14ac:dyDescent="0.3">
      <c r="A528">
        <v>527</v>
      </c>
      <c r="B528">
        <v>29</v>
      </c>
      <c r="C528" t="s">
        <v>14</v>
      </c>
      <c r="D528" t="s">
        <v>15</v>
      </c>
      <c r="E528" t="s">
        <v>13</v>
      </c>
      <c r="F528">
        <v>99</v>
      </c>
      <c r="G528">
        <v>2.4</v>
      </c>
      <c r="H528">
        <v>689</v>
      </c>
      <c r="I528">
        <v>36</v>
      </c>
      <c r="J528">
        <v>318</v>
      </c>
      <c r="K528">
        <v>2</v>
      </c>
      <c r="L528" t="s">
        <v>36</v>
      </c>
      <c r="M528" s="2">
        <f t="shared" si="8"/>
        <v>287.08333333333337</v>
      </c>
      <c r="N5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28" s="1">
        <f>F:F/I:I</f>
        <v>2.75</v>
      </c>
    </row>
    <row r="529" spans="1:15" x14ac:dyDescent="0.3">
      <c r="A529">
        <v>528</v>
      </c>
      <c r="B529">
        <v>57</v>
      </c>
      <c r="C529" t="s">
        <v>14</v>
      </c>
      <c r="D529" t="s">
        <v>18</v>
      </c>
      <c r="E529" t="s">
        <v>19</v>
      </c>
      <c r="F529">
        <v>44</v>
      </c>
      <c r="G529">
        <v>1.2</v>
      </c>
      <c r="H529">
        <v>466</v>
      </c>
      <c r="I529">
        <v>10</v>
      </c>
      <c r="J529">
        <v>131</v>
      </c>
      <c r="K529">
        <v>1</v>
      </c>
      <c r="L529" t="s">
        <v>37</v>
      </c>
      <c r="M529" s="2">
        <f t="shared" si="8"/>
        <v>388.33333333333337</v>
      </c>
      <c r="N5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29" s="1">
        <f>F:F/I:I</f>
        <v>4.4000000000000004</v>
      </c>
    </row>
    <row r="530" spans="1:15" x14ac:dyDescent="0.3">
      <c r="A530">
        <v>529</v>
      </c>
      <c r="B530">
        <v>24</v>
      </c>
      <c r="C530" t="s">
        <v>11</v>
      </c>
      <c r="D530" t="s">
        <v>15</v>
      </c>
      <c r="E530" t="s">
        <v>13</v>
      </c>
      <c r="F530">
        <v>175</v>
      </c>
      <c r="G530">
        <v>3</v>
      </c>
      <c r="H530">
        <v>801</v>
      </c>
      <c r="I530">
        <v>32</v>
      </c>
      <c r="J530">
        <v>338</v>
      </c>
      <c r="K530">
        <v>2</v>
      </c>
      <c r="L530" t="s">
        <v>39</v>
      </c>
      <c r="M530" s="2">
        <f t="shared" si="8"/>
        <v>267</v>
      </c>
      <c r="N5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30" s="1">
        <f>F:F/I:I</f>
        <v>5.46875</v>
      </c>
    </row>
    <row r="531" spans="1:15" x14ac:dyDescent="0.3">
      <c r="A531">
        <v>530</v>
      </c>
      <c r="B531">
        <v>42</v>
      </c>
      <c r="C531" t="s">
        <v>14</v>
      </c>
      <c r="D531" t="s">
        <v>15</v>
      </c>
      <c r="E531" t="s">
        <v>13</v>
      </c>
      <c r="F531">
        <v>228</v>
      </c>
      <c r="G531">
        <v>4.8</v>
      </c>
      <c r="H531">
        <v>1639</v>
      </c>
      <c r="I531">
        <v>47</v>
      </c>
      <c r="J531">
        <v>796</v>
      </c>
      <c r="K531">
        <v>3</v>
      </c>
      <c r="L531" t="s">
        <v>34</v>
      </c>
      <c r="M531" s="2">
        <f t="shared" si="8"/>
        <v>341.45833333333337</v>
      </c>
      <c r="N5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31" s="1">
        <f>F:F/I:I</f>
        <v>4.8510638297872344</v>
      </c>
    </row>
    <row r="532" spans="1:15" x14ac:dyDescent="0.3">
      <c r="A532">
        <v>531</v>
      </c>
      <c r="B532">
        <v>43</v>
      </c>
      <c r="C532" t="s">
        <v>14</v>
      </c>
      <c r="D532" t="s">
        <v>12</v>
      </c>
      <c r="E532" t="s">
        <v>13</v>
      </c>
      <c r="F532">
        <v>589</v>
      </c>
      <c r="G532">
        <v>11.8</v>
      </c>
      <c r="H532">
        <v>2629</v>
      </c>
      <c r="I532">
        <v>86</v>
      </c>
      <c r="J532">
        <v>2479</v>
      </c>
      <c r="K532">
        <v>5</v>
      </c>
      <c r="L532" t="s">
        <v>34</v>
      </c>
      <c r="M532" s="2">
        <f t="shared" si="8"/>
        <v>222.79661016949152</v>
      </c>
      <c r="N5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32" s="1">
        <f>F:F/I:I</f>
        <v>6.8488372093023253</v>
      </c>
    </row>
    <row r="533" spans="1:15" x14ac:dyDescent="0.3">
      <c r="A533">
        <v>532</v>
      </c>
      <c r="B533">
        <v>47</v>
      </c>
      <c r="C533" t="s">
        <v>11</v>
      </c>
      <c r="D533" t="s">
        <v>17</v>
      </c>
      <c r="E533" t="s">
        <v>13</v>
      </c>
      <c r="F533">
        <v>339</v>
      </c>
      <c r="G533">
        <v>7.9</v>
      </c>
      <c r="H533">
        <v>1987</v>
      </c>
      <c r="I533">
        <v>66</v>
      </c>
      <c r="J533">
        <v>1191</v>
      </c>
      <c r="K533">
        <v>4</v>
      </c>
      <c r="L533" t="s">
        <v>41</v>
      </c>
      <c r="M533" s="2">
        <f t="shared" si="8"/>
        <v>251.51898734177215</v>
      </c>
      <c r="N5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33" s="1">
        <f>F:F/I:I</f>
        <v>5.1363636363636367</v>
      </c>
    </row>
    <row r="534" spans="1:15" x14ac:dyDescent="0.3">
      <c r="A534">
        <v>533</v>
      </c>
      <c r="B534">
        <v>23</v>
      </c>
      <c r="C534" t="s">
        <v>14</v>
      </c>
      <c r="D534" t="s">
        <v>18</v>
      </c>
      <c r="E534" t="s">
        <v>19</v>
      </c>
      <c r="F534">
        <v>431</v>
      </c>
      <c r="G534">
        <v>6.4</v>
      </c>
      <c r="H534">
        <v>2206</v>
      </c>
      <c r="I534">
        <v>66</v>
      </c>
      <c r="J534">
        <v>1200</v>
      </c>
      <c r="K534">
        <v>4</v>
      </c>
      <c r="L534" t="s">
        <v>39</v>
      </c>
      <c r="M534" s="2">
        <f t="shared" si="8"/>
        <v>344.6875</v>
      </c>
      <c r="N5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34" s="1">
        <f>F:F/I:I</f>
        <v>6.5303030303030303</v>
      </c>
    </row>
    <row r="535" spans="1:15" x14ac:dyDescent="0.3">
      <c r="A535">
        <v>534</v>
      </c>
      <c r="B535">
        <v>22</v>
      </c>
      <c r="C535" t="s">
        <v>14</v>
      </c>
      <c r="D535" t="s">
        <v>12</v>
      </c>
      <c r="E535" t="s">
        <v>13</v>
      </c>
      <c r="F535">
        <v>190</v>
      </c>
      <c r="G535">
        <v>4.7</v>
      </c>
      <c r="H535">
        <v>1276</v>
      </c>
      <c r="I535">
        <v>57</v>
      </c>
      <c r="J535">
        <v>915</v>
      </c>
      <c r="K535">
        <v>3</v>
      </c>
      <c r="L535" t="s">
        <v>39</v>
      </c>
      <c r="M535" s="2">
        <f t="shared" si="8"/>
        <v>271.48936170212767</v>
      </c>
      <c r="N5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35" s="1">
        <f>F:F/I:I</f>
        <v>3.3333333333333335</v>
      </c>
    </row>
    <row r="536" spans="1:15" x14ac:dyDescent="0.3">
      <c r="A536">
        <v>535</v>
      </c>
      <c r="B536">
        <v>30</v>
      </c>
      <c r="C536" t="s">
        <v>11</v>
      </c>
      <c r="D536" t="s">
        <v>17</v>
      </c>
      <c r="E536" t="s">
        <v>13</v>
      </c>
      <c r="F536">
        <v>389</v>
      </c>
      <c r="G536">
        <v>6.1</v>
      </c>
      <c r="H536">
        <v>2087</v>
      </c>
      <c r="I536">
        <v>67</v>
      </c>
      <c r="J536">
        <v>1383</v>
      </c>
      <c r="K536">
        <v>4</v>
      </c>
      <c r="L536" t="s">
        <v>40</v>
      </c>
      <c r="M536" s="2">
        <f t="shared" si="8"/>
        <v>342.13114754098365</v>
      </c>
      <c r="N5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36" s="1">
        <f>F:F/I:I</f>
        <v>5.8059701492537314</v>
      </c>
    </row>
    <row r="537" spans="1:15" x14ac:dyDescent="0.3">
      <c r="A537">
        <v>536</v>
      </c>
      <c r="B537">
        <v>25</v>
      </c>
      <c r="C537" t="s">
        <v>14</v>
      </c>
      <c r="D537" t="s">
        <v>16</v>
      </c>
      <c r="E537" t="s">
        <v>13</v>
      </c>
      <c r="F537">
        <v>139</v>
      </c>
      <c r="G537">
        <v>3.3</v>
      </c>
      <c r="H537">
        <v>937</v>
      </c>
      <c r="I537">
        <v>24</v>
      </c>
      <c r="J537">
        <v>573</v>
      </c>
      <c r="K537">
        <v>2</v>
      </c>
      <c r="L537" t="s">
        <v>36</v>
      </c>
      <c r="M537" s="2">
        <f t="shared" si="8"/>
        <v>283.93939393939394</v>
      </c>
      <c r="N5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37" s="1">
        <f>F:F/I:I</f>
        <v>5.791666666666667</v>
      </c>
    </row>
    <row r="538" spans="1:15" x14ac:dyDescent="0.3">
      <c r="A538">
        <v>537</v>
      </c>
      <c r="B538">
        <v>30</v>
      </c>
      <c r="C538" t="s">
        <v>11</v>
      </c>
      <c r="D538" t="s">
        <v>16</v>
      </c>
      <c r="E538" t="s">
        <v>13</v>
      </c>
      <c r="F538">
        <v>289</v>
      </c>
      <c r="G538">
        <v>5.9</v>
      </c>
      <c r="H538">
        <v>1528</v>
      </c>
      <c r="I538">
        <v>48</v>
      </c>
      <c r="J538">
        <v>915</v>
      </c>
      <c r="K538">
        <v>3</v>
      </c>
      <c r="L538" t="s">
        <v>40</v>
      </c>
      <c r="M538" s="2">
        <f t="shared" si="8"/>
        <v>258.9830508474576</v>
      </c>
      <c r="N5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38" s="1">
        <f>F:F/I:I</f>
        <v>6.020833333333333</v>
      </c>
    </row>
    <row r="539" spans="1:15" x14ac:dyDescent="0.3">
      <c r="A539">
        <v>538</v>
      </c>
      <c r="B539">
        <v>34</v>
      </c>
      <c r="C539" t="s">
        <v>14</v>
      </c>
      <c r="D539" t="s">
        <v>16</v>
      </c>
      <c r="E539" t="s">
        <v>13</v>
      </c>
      <c r="F539">
        <v>593</v>
      </c>
      <c r="G539">
        <v>11.1</v>
      </c>
      <c r="H539">
        <v>2672</v>
      </c>
      <c r="I539">
        <v>82</v>
      </c>
      <c r="J539">
        <v>2258</v>
      </c>
      <c r="K539">
        <v>5</v>
      </c>
      <c r="L539" t="s">
        <v>40</v>
      </c>
      <c r="M539" s="2">
        <f t="shared" si="8"/>
        <v>240.72072072072072</v>
      </c>
      <c r="N5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39" s="1">
        <f>F:F/I:I</f>
        <v>7.2317073170731705</v>
      </c>
    </row>
    <row r="540" spans="1:15" x14ac:dyDescent="0.3">
      <c r="A540">
        <v>539</v>
      </c>
      <c r="B540">
        <v>38</v>
      </c>
      <c r="C540" t="s">
        <v>14</v>
      </c>
      <c r="D540" t="s">
        <v>15</v>
      </c>
      <c r="E540" t="s">
        <v>13</v>
      </c>
      <c r="F540">
        <v>576</v>
      </c>
      <c r="G540">
        <v>9.5</v>
      </c>
      <c r="H540">
        <v>2638</v>
      </c>
      <c r="I540">
        <v>98</v>
      </c>
      <c r="J540">
        <v>2281</v>
      </c>
      <c r="K540">
        <v>5</v>
      </c>
      <c r="L540" t="s">
        <v>35</v>
      </c>
      <c r="M540" s="2">
        <f t="shared" si="8"/>
        <v>277.68421052631578</v>
      </c>
      <c r="N5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40" s="1">
        <f>F:F/I:I</f>
        <v>5.8775510204081636</v>
      </c>
    </row>
    <row r="541" spans="1:15" x14ac:dyDescent="0.3">
      <c r="A541">
        <v>540</v>
      </c>
      <c r="B541">
        <v>27</v>
      </c>
      <c r="C541" t="s">
        <v>14</v>
      </c>
      <c r="D541" t="s">
        <v>17</v>
      </c>
      <c r="E541" t="s">
        <v>13</v>
      </c>
      <c r="F541">
        <v>592</v>
      </c>
      <c r="G541">
        <v>9.4</v>
      </c>
      <c r="H541">
        <v>2867</v>
      </c>
      <c r="I541">
        <v>95</v>
      </c>
      <c r="J541">
        <v>1701</v>
      </c>
      <c r="K541">
        <v>5</v>
      </c>
      <c r="L541" t="s">
        <v>36</v>
      </c>
      <c r="M541" s="2">
        <f t="shared" si="8"/>
        <v>305</v>
      </c>
      <c r="N5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41" s="1">
        <f>F:F/I:I</f>
        <v>6.2315789473684209</v>
      </c>
    </row>
    <row r="542" spans="1:15" x14ac:dyDescent="0.3">
      <c r="A542">
        <v>541</v>
      </c>
      <c r="B542">
        <v>52</v>
      </c>
      <c r="C542" t="s">
        <v>11</v>
      </c>
      <c r="D542" t="s">
        <v>18</v>
      </c>
      <c r="E542" t="s">
        <v>19</v>
      </c>
      <c r="F542">
        <v>567</v>
      </c>
      <c r="G542">
        <v>10.5</v>
      </c>
      <c r="H542">
        <v>2817</v>
      </c>
      <c r="I542">
        <v>89</v>
      </c>
      <c r="J542">
        <v>2194</v>
      </c>
      <c r="K542">
        <v>5</v>
      </c>
      <c r="L542" t="s">
        <v>38</v>
      </c>
      <c r="M542" s="2">
        <f t="shared" si="8"/>
        <v>268.28571428571428</v>
      </c>
      <c r="N5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542" s="1">
        <f>F:F/I:I</f>
        <v>6.3707865168539328</v>
      </c>
    </row>
    <row r="543" spans="1:15" x14ac:dyDescent="0.3">
      <c r="A543">
        <v>542</v>
      </c>
      <c r="B543">
        <v>25</v>
      </c>
      <c r="C543" t="s">
        <v>14</v>
      </c>
      <c r="D543" t="s">
        <v>18</v>
      </c>
      <c r="E543" t="s">
        <v>19</v>
      </c>
      <c r="F543">
        <v>170</v>
      </c>
      <c r="G543">
        <v>2.5</v>
      </c>
      <c r="H543">
        <v>740</v>
      </c>
      <c r="I543">
        <v>21</v>
      </c>
      <c r="J543">
        <v>537</v>
      </c>
      <c r="K543">
        <v>2</v>
      </c>
      <c r="L543" t="s">
        <v>36</v>
      </c>
      <c r="M543" s="2">
        <f t="shared" si="8"/>
        <v>296</v>
      </c>
      <c r="N5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43" s="1">
        <f>F:F/I:I</f>
        <v>8.0952380952380949</v>
      </c>
    </row>
    <row r="544" spans="1:15" x14ac:dyDescent="0.3">
      <c r="A544">
        <v>543</v>
      </c>
      <c r="B544">
        <v>28</v>
      </c>
      <c r="C544" t="s">
        <v>11</v>
      </c>
      <c r="D544" t="s">
        <v>15</v>
      </c>
      <c r="E544" t="s">
        <v>13</v>
      </c>
      <c r="F544">
        <v>242</v>
      </c>
      <c r="G544">
        <v>5.4</v>
      </c>
      <c r="H544">
        <v>1307</v>
      </c>
      <c r="I544">
        <v>48</v>
      </c>
      <c r="J544">
        <v>642</v>
      </c>
      <c r="K544">
        <v>3</v>
      </c>
      <c r="L544" t="s">
        <v>36</v>
      </c>
      <c r="M544" s="2">
        <f t="shared" si="8"/>
        <v>242.03703703703701</v>
      </c>
      <c r="N5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44" s="1">
        <f>F:F/I:I</f>
        <v>5.041666666666667</v>
      </c>
    </row>
    <row r="545" spans="1:15" x14ac:dyDescent="0.3">
      <c r="A545">
        <v>544</v>
      </c>
      <c r="B545">
        <v>55</v>
      </c>
      <c r="C545" t="s">
        <v>11</v>
      </c>
      <c r="D545" t="s">
        <v>16</v>
      </c>
      <c r="E545" t="s">
        <v>13</v>
      </c>
      <c r="F545">
        <v>275</v>
      </c>
      <c r="G545">
        <v>5.5</v>
      </c>
      <c r="H545">
        <v>1616</v>
      </c>
      <c r="I545">
        <v>48</v>
      </c>
      <c r="J545">
        <v>656</v>
      </c>
      <c r="K545">
        <v>3</v>
      </c>
      <c r="L545" t="s">
        <v>37</v>
      </c>
      <c r="M545" s="2">
        <f t="shared" si="8"/>
        <v>293.81818181818181</v>
      </c>
      <c r="N5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45" s="1">
        <f>F:F/I:I</f>
        <v>5.729166666666667</v>
      </c>
    </row>
    <row r="546" spans="1:15" x14ac:dyDescent="0.3">
      <c r="A546">
        <v>545</v>
      </c>
      <c r="B546">
        <v>28</v>
      </c>
      <c r="C546" t="s">
        <v>14</v>
      </c>
      <c r="D546" t="s">
        <v>15</v>
      </c>
      <c r="E546" t="s">
        <v>13</v>
      </c>
      <c r="F546">
        <v>544</v>
      </c>
      <c r="G546">
        <v>9.6999999999999993</v>
      </c>
      <c r="H546">
        <v>2633</v>
      </c>
      <c r="I546">
        <v>97</v>
      </c>
      <c r="J546">
        <v>1727</v>
      </c>
      <c r="K546">
        <v>5</v>
      </c>
      <c r="L546" t="s">
        <v>36</v>
      </c>
      <c r="M546" s="2">
        <f t="shared" si="8"/>
        <v>271.4432989690722</v>
      </c>
      <c r="N5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46" s="1">
        <f>F:F/I:I</f>
        <v>5.608247422680412</v>
      </c>
    </row>
    <row r="547" spans="1:15" x14ac:dyDescent="0.3">
      <c r="A547">
        <v>546</v>
      </c>
      <c r="B547">
        <v>34</v>
      </c>
      <c r="C547" t="s">
        <v>14</v>
      </c>
      <c r="D547" t="s">
        <v>17</v>
      </c>
      <c r="E547" t="s">
        <v>13</v>
      </c>
      <c r="F547">
        <v>50</v>
      </c>
      <c r="G547">
        <v>2</v>
      </c>
      <c r="H547">
        <v>362</v>
      </c>
      <c r="I547">
        <v>17</v>
      </c>
      <c r="J547">
        <v>182</v>
      </c>
      <c r="K547">
        <v>1</v>
      </c>
      <c r="L547" t="s">
        <v>40</v>
      </c>
      <c r="M547" s="2">
        <f t="shared" si="8"/>
        <v>181</v>
      </c>
      <c r="N5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47" s="1">
        <f>F:F/I:I</f>
        <v>2.9411764705882355</v>
      </c>
    </row>
    <row r="548" spans="1:15" x14ac:dyDescent="0.3">
      <c r="A548">
        <v>547</v>
      </c>
      <c r="B548">
        <v>21</v>
      </c>
      <c r="C548" t="s">
        <v>14</v>
      </c>
      <c r="D548" t="s">
        <v>17</v>
      </c>
      <c r="E548" t="s">
        <v>13</v>
      </c>
      <c r="F548">
        <v>236</v>
      </c>
      <c r="G548">
        <v>4.5999999999999996</v>
      </c>
      <c r="H548">
        <v>1750</v>
      </c>
      <c r="I548">
        <v>45</v>
      </c>
      <c r="J548">
        <v>971</v>
      </c>
      <c r="K548">
        <v>3</v>
      </c>
      <c r="L548" t="s">
        <v>39</v>
      </c>
      <c r="M548" s="2">
        <f t="shared" si="8"/>
        <v>380.43478260869568</v>
      </c>
      <c r="N5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48" s="1">
        <f>F:F/I:I</f>
        <v>5.2444444444444445</v>
      </c>
    </row>
    <row r="549" spans="1:15" x14ac:dyDescent="0.3">
      <c r="A549">
        <v>548</v>
      </c>
      <c r="B549">
        <v>58</v>
      </c>
      <c r="C549" t="s">
        <v>14</v>
      </c>
      <c r="D549" t="s">
        <v>18</v>
      </c>
      <c r="E549" t="s">
        <v>19</v>
      </c>
      <c r="F549">
        <v>139</v>
      </c>
      <c r="G549">
        <v>2.6</v>
      </c>
      <c r="H549">
        <v>658</v>
      </c>
      <c r="I549">
        <v>33</v>
      </c>
      <c r="J549">
        <v>358</v>
      </c>
      <c r="K549">
        <v>2</v>
      </c>
      <c r="L549" t="s">
        <v>37</v>
      </c>
      <c r="M549" s="2">
        <f t="shared" si="8"/>
        <v>253.07692307692307</v>
      </c>
      <c r="N5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49" s="1">
        <f>F:F/I:I</f>
        <v>4.2121212121212119</v>
      </c>
    </row>
    <row r="550" spans="1:15" x14ac:dyDescent="0.3">
      <c r="A550">
        <v>549</v>
      </c>
      <c r="B550">
        <v>45</v>
      </c>
      <c r="C550" t="s">
        <v>11</v>
      </c>
      <c r="D550" t="s">
        <v>15</v>
      </c>
      <c r="E550" t="s">
        <v>13</v>
      </c>
      <c r="F550">
        <v>383</v>
      </c>
      <c r="G550">
        <v>6.6</v>
      </c>
      <c r="H550">
        <v>2155</v>
      </c>
      <c r="I550">
        <v>74</v>
      </c>
      <c r="J550">
        <v>1360</v>
      </c>
      <c r="K550">
        <v>4</v>
      </c>
      <c r="L550" t="s">
        <v>41</v>
      </c>
      <c r="M550" s="2">
        <f t="shared" si="8"/>
        <v>326.51515151515156</v>
      </c>
      <c r="N5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50" s="1">
        <f>F:F/I:I</f>
        <v>5.1756756756756754</v>
      </c>
    </row>
    <row r="551" spans="1:15" x14ac:dyDescent="0.3">
      <c r="A551">
        <v>550</v>
      </c>
      <c r="B551">
        <v>21</v>
      </c>
      <c r="C551" t="s">
        <v>14</v>
      </c>
      <c r="D551" t="s">
        <v>16</v>
      </c>
      <c r="E551" t="s">
        <v>13</v>
      </c>
      <c r="F551">
        <v>172</v>
      </c>
      <c r="G551">
        <v>4</v>
      </c>
      <c r="H551">
        <v>1047</v>
      </c>
      <c r="I551">
        <v>32</v>
      </c>
      <c r="J551">
        <v>508</v>
      </c>
      <c r="K551">
        <v>2</v>
      </c>
      <c r="L551" t="s">
        <v>39</v>
      </c>
      <c r="M551" s="2">
        <f t="shared" si="8"/>
        <v>261.75</v>
      </c>
      <c r="N5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51" s="1">
        <f>F:F/I:I</f>
        <v>5.375</v>
      </c>
    </row>
    <row r="552" spans="1:15" x14ac:dyDescent="0.3">
      <c r="A552">
        <v>551</v>
      </c>
      <c r="B552">
        <v>42</v>
      </c>
      <c r="C552" t="s">
        <v>11</v>
      </c>
      <c r="D552" t="s">
        <v>12</v>
      </c>
      <c r="E552" t="s">
        <v>13</v>
      </c>
      <c r="F552">
        <v>455</v>
      </c>
      <c r="G552">
        <v>6.2</v>
      </c>
      <c r="H552">
        <v>1984</v>
      </c>
      <c r="I552">
        <v>72</v>
      </c>
      <c r="J552">
        <v>1287</v>
      </c>
      <c r="K552">
        <v>4</v>
      </c>
      <c r="L552" t="s">
        <v>34</v>
      </c>
      <c r="M552" s="2">
        <f t="shared" si="8"/>
        <v>320</v>
      </c>
      <c r="N5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52" s="1">
        <f>F:F/I:I</f>
        <v>6.3194444444444446</v>
      </c>
    </row>
    <row r="553" spans="1:15" x14ac:dyDescent="0.3">
      <c r="A553">
        <v>552</v>
      </c>
      <c r="B553">
        <v>37</v>
      </c>
      <c r="C553" t="s">
        <v>14</v>
      </c>
      <c r="D553" t="s">
        <v>16</v>
      </c>
      <c r="E553" t="s">
        <v>13</v>
      </c>
      <c r="F553">
        <v>157</v>
      </c>
      <c r="G553">
        <v>2.5</v>
      </c>
      <c r="H553">
        <v>1110</v>
      </c>
      <c r="I553">
        <v>30</v>
      </c>
      <c r="J553">
        <v>373</v>
      </c>
      <c r="K553">
        <v>2</v>
      </c>
      <c r="L553" t="s">
        <v>35</v>
      </c>
      <c r="M553" s="2">
        <f t="shared" si="8"/>
        <v>444</v>
      </c>
      <c r="N5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53" s="1">
        <f>F:F/I:I</f>
        <v>5.2333333333333334</v>
      </c>
    </row>
    <row r="554" spans="1:15" x14ac:dyDescent="0.3">
      <c r="A554">
        <v>553</v>
      </c>
      <c r="B554">
        <v>32</v>
      </c>
      <c r="C554" t="s">
        <v>11</v>
      </c>
      <c r="D554" t="s">
        <v>18</v>
      </c>
      <c r="E554" t="s">
        <v>19</v>
      </c>
      <c r="F554">
        <v>173</v>
      </c>
      <c r="G554">
        <v>3.8</v>
      </c>
      <c r="H554">
        <v>605</v>
      </c>
      <c r="I554">
        <v>23</v>
      </c>
      <c r="J554">
        <v>583</v>
      </c>
      <c r="K554">
        <v>2</v>
      </c>
      <c r="L554" t="s">
        <v>40</v>
      </c>
      <c r="M554" s="2">
        <f t="shared" si="8"/>
        <v>159.21052631578948</v>
      </c>
      <c r="N5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54" s="1">
        <f>F:F/I:I</f>
        <v>7.5217391304347823</v>
      </c>
    </row>
    <row r="555" spans="1:15" x14ac:dyDescent="0.3">
      <c r="A555">
        <v>554</v>
      </c>
      <c r="B555">
        <v>37</v>
      </c>
      <c r="C555" t="s">
        <v>14</v>
      </c>
      <c r="D555" t="s">
        <v>16</v>
      </c>
      <c r="E555" t="s">
        <v>13</v>
      </c>
      <c r="F555">
        <v>405</v>
      </c>
      <c r="G555">
        <v>7.3</v>
      </c>
      <c r="H555">
        <v>2082</v>
      </c>
      <c r="I555">
        <v>75</v>
      </c>
      <c r="J555">
        <v>1162</v>
      </c>
      <c r="K555">
        <v>4</v>
      </c>
      <c r="L555" t="s">
        <v>35</v>
      </c>
      <c r="M555" s="2">
        <f t="shared" si="8"/>
        <v>285.20547945205482</v>
      </c>
      <c r="N5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55" s="1">
        <f>F:F/I:I</f>
        <v>5.4</v>
      </c>
    </row>
    <row r="556" spans="1:15" x14ac:dyDescent="0.3">
      <c r="A556">
        <v>555</v>
      </c>
      <c r="B556">
        <v>19</v>
      </c>
      <c r="C556" t="s">
        <v>14</v>
      </c>
      <c r="D556" t="s">
        <v>18</v>
      </c>
      <c r="E556" t="s">
        <v>19</v>
      </c>
      <c r="F556">
        <v>387</v>
      </c>
      <c r="G556">
        <v>6.6</v>
      </c>
      <c r="H556">
        <v>2168</v>
      </c>
      <c r="I556">
        <v>61</v>
      </c>
      <c r="J556">
        <v>1246</v>
      </c>
      <c r="K556">
        <v>4</v>
      </c>
      <c r="L556" t="s">
        <v>42</v>
      </c>
      <c r="M556" s="2">
        <f t="shared" si="8"/>
        <v>328.4848484848485</v>
      </c>
      <c r="N5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556" s="1">
        <f>F:F/I:I</f>
        <v>6.3442622950819674</v>
      </c>
    </row>
    <row r="557" spans="1:15" x14ac:dyDescent="0.3">
      <c r="A557">
        <v>556</v>
      </c>
      <c r="B557">
        <v>32</v>
      </c>
      <c r="C557" t="s">
        <v>14</v>
      </c>
      <c r="D557" t="s">
        <v>12</v>
      </c>
      <c r="E557" t="s">
        <v>13</v>
      </c>
      <c r="F557">
        <v>201</v>
      </c>
      <c r="G557">
        <v>4.9000000000000004</v>
      </c>
      <c r="H557">
        <v>1633</v>
      </c>
      <c r="I557">
        <v>41</v>
      </c>
      <c r="J557">
        <v>972</v>
      </c>
      <c r="K557">
        <v>3</v>
      </c>
      <c r="L557" t="s">
        <v>40</v>
      </c>
      <c r="M557" s="2">
        <f t="shared" si="8"/>
        <v>333.26530612244898</v>
      </c>
      <c r="N5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57" s="1">
        <f>F:F/I:I</f>
        <v>4.9024390243902438</v>
      </c>
    </row>
    <row r="558" spans="1:15" x14ac:dyDescent="0.3">
      <c r="A558">
        <v>557</v>
      </c>
      <c r="B558">
        <v>40</v>
      </c>
      <c r="C558" t="s">
        <v>14</v>
      </c>
      <c r="D558" t="s">
        <v>18</v>
      </c>
      <c r="E558" t="s">
        <v>19</v>
      </c>
      <c r="F558">
        <v>142</v>
      </c>
      <c r="G558">
        <v>3.5</v>
      </c>
      <c r="H558">
        <v>625</v>
      </c>
      <c r="I558">
        <v>25</v>
      </c>
      <c r="J558">
        <v>370</v>
      </c>
      <c r="K558">
        <v>2</v>
      </c>
      <c r="L558" t="s">
        <v>34</v>
      </c>
      <c r="M558" s="2">
        <f t="shared" si="8"/>
        <v>178.57142857142858</v>
      </c>
      <c r="N5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58" s="1">
        <f>F:F/I:I</f>
        <v>5.68</v>
      </c>
    </row>
    <row r="559" spans="1:15" x14ac:dyDescent="0.3">
      <c r="A559">
        <v>558</v>
      </c>
      <c r="B559">
        <v>27</v>
      </c>
      <c r="C559" t="s">
        <v>11</v>
      </c>
      <c r="D559" t="s">
        <v>16</v>
      </c>
      <c r="E559" t="s">
        <v>13</v>
      </c>
      <c r="F559">
        <v>198</v>
      </c>
      <c r="G559">
        <v>4.2</v>
      </c>
      <c r="H559">
        <v>1392</v>
      </c>
      <c r="I559">
        <v>43</v>
      </c>
      <c r="J559">
        <v>640</v>
      </c>
      <c r="K559">
        <v>3</v>
      </c>
      <c r="L559" t="s">
        <v>36</v>
      </c>
      <c r="M559" s="2">
        <f t="shared" si="8"/>
        <v>331.42857142857139</v>
      </c>
      <c r="N5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59" s="1">
        <f>F:F/I:I</f>
        <v>4.6046511627906979</v>
      </c>
    </row>
    <row r="560" spans="1:15" x14ac:dyDescent="0.3">
      <c r="A560">
        <v>559</v>
      </c>
      <c r="B560">
        <v>55</v>
      </c>
      <c r="C560" t="s">
        <v>11</v>
      </c>
      <c r="D560" t="s">
        <v>15</v>
      </c>
      <c r="E560" t="s">
        <v>13</v>
      </c>
      <c r="F560">
        <v>361</v>
      </c>
      <c r="G560">
        <v>7.6</v>
      </c>
      <c r="H560">
        <v>2037</v>
      </c>
      <c r="I560">
        <v>65</v>
      </c>
      <c r="J560">
        <v>1056</v>
      </c>
      <c r="K560">
        <v>4</v>
      </c>
      <c r="L560" t="s">
        <v>37</v>
      </c>
      <c r="M560" s="2">
        <f t="shared" si="8"/>
        <v>268.0263157894737</v>
      </c>
      <c r="N5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60" s="1">
        <f>F:F/I:I</f>
        <v>5.5538461538461537</v>
      </c>
    </row>
    <row r="561" spans="1:15" x14ac:dyDescent="0.3">
      <c r="A561">
        <v>560</v>
      </c>
      <c r="B561">
        <v>47</v>
      </c>
      <c r="C561" t="s">
        <v>11</v>
      </c>
      <c r="D561" t="s">
        <v>17</v>
      </c>
      <c r="E561" t="s">
        <v>13</v>
      </c>
      <c r="F561">
        <v>553</v>
      </c>
      <c r="G561">
        <v>11.6</v>
      </c>
      <c r="H561">
        <v>2914</v>
      </c>
      <c r="I561">
        <v>81</v>
      </c>
      <c r="J561">
        <v>1860</v>
      </c>
      <c r="K561">
        <v>5</v>
      </c>
      <c r="L561" t="s">
        <v>41</v>
      </c>
      <c r="M561" s="2">
        <f t="shared" si="8"/>
        <v>251.20689655172416</v>
      </c>
      <c r="N5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61" s="1">
        <f>F:F/I:I</f>
        <v>6.8271604938271606</v>
      </c>
    </row>
    <row r="562" spans="1:15" x14ac:dyDescent="0.3">
      <c r="A562">
        <v>561</v>
      </c>
      <c r="B562">
        <v>38</v>
      </c>
      <c r="C562" t="s">
        <v>14</v>
      </c>
      <c r="D562" t="s">
        <v>16</v>
      </c>
      <c r="E562" t="s">
        <v>13</v>
      </c>
      <c r="F562">
        <v>408</v>
      </c>
      <c r="G562">
        <v>6.2</v>
      </c>
      <c r="H562">
        <v>2245</v>
      </c>
      <c r="I562">
        <v>69</v>
      </c>
      <c r="J562">
        <v>1103</v>
      </c>
      <c r="K562">
        <v>4</v>
      </c>
      <c r="L562" t="s">
        <v>35</v>
      </c>
      <c r="M562" s="2">
        <f t="shared" si="8"/>
        <v>362.09677419354836</v>
      </c>
      <c r="N5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62" s="1">
        <f>F:F/I:I</f>
        <v>5.9130434782608692</v>
      </c>
    </row>
    <row r="563" spans="1:15" x14ac:dyDescent="0.3">
      <c r="A563">
        <v>562</v>
      </c>
      <c r="B563">
        <v>18</v>
      </c>
      <c r="C563" t="s">
        <v>11</v>
      </c>
      <c r="D563" t="s">
        <v>12</v>
      </c>
      <c r="E563" t="s">
        <v>13</v>
      </c>
      <c r="F563">
        <v>121</v>
      </c>
      <c r="G563">
        <v>2.1</v>
      </c>
      <c r="H563">
        <v>1188</v>
      </c>
      <c r="I563">
        <v>21</v>
      </c>
      <c r="J563">
        <v>578</v>
      </c>
      <c r="K563">
        <v>2</v>
      </c>
      <c r="L563" t="s">
        <v>42</v>
      </c>
      <c r="M563" s="2">
        <f t="shared" si="8"/>
        <v>565.71428571428567</v>
      </c>
      <c r="N5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563" s="1">
        <f>F:F/I:I</f>
        <v>5.7619047619047619</v>
      </c>
    </row>
    <row r="564" spans="1:15" x14ac:dyDescent="0.3">
      <c r="A564">
        <v>563</v>
      </c>
      <c r="B564">
        <v>33</v>
      </c>
      <c r="C564" t="s">
        <v>14</v>
      </c>
      <c r="D564" t="s">
        <v>15</v>
      </c>
      <c r="E564" t="s">
        <v>13</v>
      </c>
      <c r="F564">
        <v>71</v>
      </c>
      <c r="G564">
        <v>1.4</v>
      </c>
      <c r="H564">
        <v>508</v>
      </c>
      <c r="I564">
        <v>15</v>
      </c>
      <c r="J564">
        <v>265</v>
      </c>
      <c r="K564">
        <v>1</v>
      </c>
      <c r="L564" t="s">
        <v>40</v>
      </c>
      <c r="M564" s="2">
        <f t="shared" si="8"/>
        <v>362.85714285714289</v>
      </c>
      <c r="N5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64" s="1">
        <f>F:F/I:I</f>
        <v>4.7333333333333334</v>
      </c>
    </row>
    <row r="565" spans="1:15" x14ac:dyDescent="0.3">
      <c r="A565">
        <v>564</v>
      </c>
      <c r="B565">
        <v>31</v>
      </c>
      <c r="C565" t="s">
        <v>11</v>
      </c>
      <c r="D565" t="s">
        <v>18</v>
      </c>
      <c r="E565" t="s">
        <v>19</v>
      </c>
      <c r="F565">
        <v>46</v>
      </c>
      <c r="G565">
        <v>1.6</v>
      </c>
      <c r="H565">
        <v>440</v>
      </c>
      <c r="I565">
        <v>10</v>
      </c>
      <c r="J565">
        <v>265</v>
      </c>
      <c r="K565">
        <v>1</v>
      </c>
      <c r="L565" t="s">
        <v>40</v>
      </c>
      <c r="M565" s="2">
        <f t="shared" si="8"/>
        <v>275</v>
      </c>
      <c r="N5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65" s="1">
        <f>F:F/I:I</f>
        <v>4.5999999999999996</v>
      </c>
    </row>
    <row r="566" spans="1:15" x14ac:dyDescent="0.3">
      <c r="A566">
        <v>565</v>
      </c>
      <c r="B566">
        <v>44</v>
      </c>
      <c r="C566" t="s">
        <v>11</v>
      </c>
      <c r="D566" t="s">
        <v>12</v>
      </c>
      <c r="E566" t="s">
        <v>13</v>
      </c>
      <c r="F566">
        <v>290</v>
      </c>
      <c r="G566">
        <v>4.4000000000000004</v>
      </c>
      <c r="H566">
        <v>1272</v>
      </c>
      <c r="I566">
        <v>55</v>
      </c>
      <c r="J566">
        <v>910</v>
      </c>
      <c r="K566">
        <v>3</v>
      </c>
      <c r="L566" t="s">
        <v>34</v>
      </c>
      <c r="M566" s="2">
        <f t="shared" si="8"/>
        <v>289.09090909090907</v>
      </c>
      <c r="N5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66" s="1">
        <f>F:F/I:I</f>
        <v>5.2727272727272725</v>
      </c>
    </row>
    <row r="567" spans="1:15" x14ac:dyDescent="0.3">
      <c r="A567">
        <v>566</v>
      </c>
      <c r="B567">
        <v>40</v>
      </c>
      <c r="C567" t="s">
        <v>11</v>
      </c>
      <c r="D567" t="s">
        <v>16</v>
      </c>
      <c r="E567" t="s">
        <v>13</v>
      </c>
      <c r="F567">
        <v>60</v>
      </c>
      <c r="G567">
        <v>1.3</v>
      </c>
      <c r="H567">
        <v>462</v>
      </c>
      <c r="I567">
        <v>15</v>
      </c>
      <c r="J567">
        <v>296</v>
      </c>
      <c r="K567">
        <v>1</v>
      </c>
      <c r="L567" t="s">
        <v>34</v>
      </c>
      <c r="M567" s="2">
        <f t="shared" si="8"/>
        <v>355.38461538461536</v>
      </c>
      <c r="N5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67" s="1">
        <f>F:F/I:I</f>
        <v>4</v>
      </c>
    </row>
    <row r="568" spans="1:15" x14ac:dyDescent="0.3">
      <c r="A568">
        <v>567</v>
      </c>
      <c r="B568">
        <v>35</v>
      </c>
      <c r="C568" t="s">
        <v>14</v>
      </c>
      <c r="D568" t="s">
        <v>15</v>
      </c>
      <c r="E568" t="s">
        <v>13</v>
      </c>
      <c r="F568">
        <v>116</v>
      </c>
      <c r="G568">
        <v>3.9</v>
      </c>
      <c r="H568">
        <v>1132</v>
      </c>
      <c r="I568">
        <v>26</v>
      </c>
      <c r="J568">
        <v>498</v>
      </c>
      <c r="K568">
        <v>2</v>
      </c>
      <c r="L568" t="s">
        <v>35</v>
      </c>
      <c r="M568" s="2">
        <f t="shared" si="8"/>
        <v>290.25641025641028</v>
      </c>
      <c r="N5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68" s="1">
        <f>F:F/I:I</f>
        <v>4.4615384615384617</v>
      </c>
    </row>
    <row r="569" spans="1:15" x14ac:dyDescent="0.3">
      <c r="A569">
        <v>568</v>
      </c>
      <c r="B569">
        <v>32</v>
      </c>
      <c r="C569" t="s">
        <v>11</v>
      </c>
      <c r="D569" t="s">
        <v>17</v>
      </c>
      <c r="E569" t="s">
        <v>13</v>
      </c>
      <c r="F569">
        <v>86</v>
      </c>
      <c r="G569">
        <v>1.7</v>
      </c>
      <c r="H569">
        <v>312</v>
      </c>
      <c r="I569">
        <v>16</v>
      </c>
      <c r="J569">
        <v>227</v>
      </c>
      <c r="K569">
        <v>1</v>
      </c>
      <c r="L569" t="s">
        <v>40</v>
      </c>
      <c r="M569" s="2">
        <f t="shared" si="8"/>
        <v>183.52941176470588</v>
      </c>
      <c r="N5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69" s="1">
        <f>F:F/I:I</f>
        <v>5.375</v>
      </c>
    </row>
    <row r="570" spans="1:15" x14ac:dyDescent="0.3">
      <c r="A570">
        <v>569</v>
      </c>
      <c r="B570">
        <v>49</v>
      </c>
      <c r="C570" t="s">
        <v>14</v>
      </c>
      <c r="D570" t="s">
        <v>15</v>
      </c>
      <c r="E570" t="s">
        <v>13</v>
      </c>
      <c r="F570">
        <v>291</v>
      </c>
      <c r="G570">
        <v>5.3</v>
      </c>
      <c r="H570">
        <v>1537</v>
      </c>
      <c r="I570">
        <v>43</v>
      </c>
      <c r="J570">
        <v>700</v>
      </c>
      <c r="K570">
        <v>3</v>
      </c>
      <c r="L570" t="s">
        <v>41</v>
      </c>
      <c r="M570" s="2">
        <f t="shared" si="8"/>
        <v>290</v>
      </c>
      <c r="N5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70" s="1">
        <f>F:F/I:I</f>
        <v>6.7674418604651159</v>
      </c>
    </row>
    <row r="571" spans="1:15" x14ac:dyDescent="0.3">
      <c r="A571">
        <v>570</v>
      </c>
      <c r="B571">
        <v>18</v>
      </c>
      <c r="C571" t="s">
        <v>11</v>
      </c>
      <c r="D571" t="s">
        <v>15</v>
      </c>
      <c r="E571" t="s">
        <v>13</v>
      </c>
      <c r="F571">
        <v>404</v>
      </c>
      <c r="G571">
        <v>6.6</v>
      </c>
      <c r="H571">
        <v>2181</v>
      </c>
      <c r="I571">
        <v>77</v>
      </c>
      <c r="J571">
        <v>1327</v>
      </c>
      <c r="K571">
        <v>4</v>
      </c>
      <c r="L571" t="s">
        <v>42</v>
      </c>
      <c r="M571" s="2">
        <f t="shared" si="8"/>
        <v>330.4545454545455</v>
      </c>
      <c r="N5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571" s="1">
        <f>F:F/I:I</f>
        <v>5.2467532467532472</v>
      </c>
    </row>
    <row r="572" spans="1:15" x14ac:dyDescent="0.3">
      <c r="A572">
        <v>571</v>
      </c>
      <c r="B572">
        <v>57</v>
      </c>
      <c r="C572" t="s">
        <v>11</v>
      </c>
      <c r="D572" t="s">
        <v>17</v>
      </c>
      <c r="E572" t="s">
        <v>13</v>
      </c>
      <c r="F572">
        <v>441</v>
      </c>
      <c r="G572">
        <v>7.1</v>
      </c>
      <c r="H572">
        <v>1928</v>
      </c>
      <c r="I572">
        <v>74</v>
      </c>
      <c r="J572">
        <v>1421</v>
      </c>
      <c r="K572">
        <v>4</v>
      </c>
      <c r="L572" t="s">
        <v>37</v>
      </c>
      <c r="M572" s="2">
        <f t="shared" si="8"/>
        <v>271.54929577464787</v>
      </c>
      <c r="N5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72" s="1">
        <f>F:F/I:I</f>
        <v>5.9594594594594597</v>
      </c>
    </row>
    <row r="573" spans="1:15" x14ac:dyDescent="0.3">
      <c r="A573">
        <v>572</v>
      </c>
      <c r="B573">
        <v>25</v>
      </c>
      <c r="C573" t="s">
        <v>14</v>
      </c>
      <c r="D573" t="s">
        <v>15</v>
      </c>
      <c r="E573" t="s">
        <v>13</v>
      </c>
      <c r="F573">
        <v>444</v>
      </c>
      <c r="G573">
        <v>6.1</v>
      </c>
      <c r="H573">
        <v>2229</v>
      </c>
      <c r="I573">
        <v>73</v>
      </c>
      <c r="J573">
        <v>1194</v>
      </c>
      <c r="K573">
        <v>4</v>
      </c>
      <c r="L573" t="s">
        <v>36</v>
      </c>
      <c r="M573" s="2">
        <f t="shared" si="8"/>
        <v>365.40983606557381</v>
      </c>
      <c r="N5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73" s="1">
        <f>F:F/I:I</f>
        <v>6.0821917808219181</v>
      </c>
    </row>
    <row r="574" spans="1:15" x14ac:dyDescent="0.3">
      <c r="A574">
        <v>573</v>
      </c>
      <c r="B574">
        <v>56</v>
      </c>
      <c r="C574" t="s">
        <v>14</v>
      </c>
      <c r="D574" t="s">
        <v>17</v>
      </c>
      <c r="E574" t="s">
        <v>13</v>
      </c>
      <c r="F574">
        <v>211</v>
      </c>
      <c r="G574">
        <v>5.9</v>
      </c>
      <c r="H574">
        <v>1757</v>
      </c>
      <c r="I574">
        <v>42</v>
      </c>
      <c r="J574">
        <v>864</v>
      </c>
      <c r="K574">
        <v>3</v>
      </c>
      <c r="L574" t="s">
        <v>37</v>
      </c>
      <c r="M574" s="2">
        <f t="shared" si="8"/>
        <v>297.79661016949149</v>
      </c>
      <c r="N5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74" s="1">
        <f>F:F/I:I</f>
        <v>5.0238095238095237</v>
      </c>
    </row>
    <row r="575" spans="1:15" x14ac:dyDescent="0.3">
      <c r="A575">
        <v>574</v>
      </c>
      <c r="B575">
        <v>22</v>
      </c>
      <c r="C575" t="s">
        <v>11</v>
      </c>
      <c r="D575" t="s">
        <v>16</v>
      </c>
      <c r="E575" t="s">
        <v>13</v>
      </c>
      <c r="F575">
        <v>537</v>
      </c>
      <c r="G575">
        <v>9.1</v>
      </c>
      <c r="H575">
        <v>2858</v>
      </c>
      <c r="I575">
        <v>86</v>
      </c>
      <c r="J575">
        <v>2158</v>
      </c>
      <c r="K575">
        <v>5</v>
      </c>
      <c r="L575" t="s">
        <v>39</v>
      </c>
      <c r="M575" s="2">
        <f t="shared" si="8"/>
        <v>314.06593406593407</v>
      </c>
      <c r="N5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75" s="1">
        <f>F:F/I:I</f>
        <v>6.2441860465116283</v>
      </c>
    </row>
    <row r="576" spans="1:15" x14ac:dyDescent="0.3">
      <c r="A576">
        <v>575</v>
      </c>
      <c r="B576">
        <v>47</v>
      </c>
      <c r="C576" t="s">
        <v>14</v>
      </c>
      <c r="D576" t="s">
        <v>12</v>
      </c>
      <c r="E576" t="s">
        <v>13</v>
      </c>
      <c r="F576">
        <v>519</v>
      </c>
      <c r="G576">
        <v>10.9</v>
      </c>
      <c r="H576">
        <v>2571</v>
      </c>
      <c r="I576">
        <v>93</v>
      </c>
      <c r="J576">
        <v>2163</v>
      </c>
      <c r="K576">
        <v>5</v>
      </c>
      <c r="L576" t="s">
        <v>41</v>
      </c>
      <c r="M576" s="2">
        <f t="shared" si="8"/>
        <v>235.87155963302752</v>
      </c>
      <c r="N5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76" s="1">
        <f>F:F/I:I</f>
        <v>5.580645161290323</v>
      </c>
    </row>
    <row r="577" spans="1:15" x14ac:dyDescent="0.3">
      <c r="A577">
        <v>576</v>
      </c>
      <c r="B577">
        <v>49</v>
      </c>
      <c r="C577" t="s">
        <v>11</v>
      </c>
      <c r="D577" t="s">
        <v>16</v>
      </c>
      <c r="E577" t="s">
        <v>13</v>
      </c>
      <c r="F577">
        <v>94</v>
      </c>
      <c r="G577">
        <v>3.5</v>
      </c>
      <c r="H577">
        <v>606</v>
      </c>
      <c r="I577">
        <v>30</v>
      </c>
      <c r="J577">
        <v>446</v>
      </c>
      <c r="K577">
        <v>2</v>
      </c>
      <c r="L577" t="s">
        <v>41</v>
      </c>
      <c r="M577" s="2">
        <f t="shared" si="8"/>
        <v>173.14285714285714</v>
      </c>
      <c r="N5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77" s="1">
        <f>F:F/I:I</f>
        <v>3.1333333333333333</v>
      </c>
    </row>
    <row r="578" spans="1:15" x14ac:dyDescent="0.3">
      <c r="A578">
        <v>577</v>
      </c>
      <c r="B578">
        <v>34</v>
      </c>
      <c r="C578" t="s">
        <v>14</v>
      </c>
      <c r="D578" t="s">
        <v>15</v>
      </c>
      <c r="E578" t="s">
        <v>13</v>
      </c>
      <c r="F578">
        <v>554</v>
      </c>
      <c r="G578">
        <v>10.3</v>
      </c>
      <c r="H578">
        <v>2776</v>
      </c>
      <c r="I578">
        <v>83</v>
      </c>
      <c r="J578">
        <v>1606</v>
      </c>
      <c r="K578">
        <v>5</v>
      </c>
      <c r="L578" t="s">
        <v>40</v>
      </c>
      <c r="M578" s="2">
        <f t="shared" ref="M578:M641" si="9">H:H/G:G</f>
        <v>269.51456310679612</v>
      </c>
      <c r="N5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78" s="1">
        <f>F:F/I:I</f>
        <v>6.6746987951807233</v>
      </c>
    </row>
    <row r="579" spans="1:15" x14ac:dyDescent="0.3">
      <c r="A579">
        <v>578</v>
      </c>
      <c r="B579">
        <v>37</v>
      </c>
      <c r="C579" t="s">
        <v>14</v>
      </c>
      <c r="D579" t="s">
        <v>18</v>
      </c>
      <c r="E579" t="s">
        <v>19</v>
      </c>
      <c r="F579">
        <v>381</v>
      </c>
      <c r="G579">
        <v>7.5</v>
      </c>
      <c r="H579">
        <v>2216</v>
      </c>
      <c r="I579">
        <v>66</v>
      </c>
      <c r="J579">
        <v>1291</v>
      </c>
      <c r="K579">
        <v>4</v>
      </c>
      <c r="L579" t="s">
        <v>35</v>
      </c>
      <c r="M579" s="2">
        <f t="shared" si="9"/>
        <v>295.46666666666664</v>
      </c>
      <c r="N5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79" s="1">
        <f>F:F/I:I</f>
        <v>5.7727272727272725</v>
      </c>
    </row>
    <row r="580" spans="1:15" x14ac:dyDescent="0.3">
      <c r="A580">
        <v>579</v>
      </c>
      <c r="B580">
        <v>40</v>
      </c>
      <c r="C580" t="s">
        <v>14</v>
      </c>
      <c r="D580" t="s">
        <v>17</v>
      </c>
      <c r="E580" t="s">
        <v>13</v>
      </c>
      <c r="F580">
        <v>257</v>
      </c>
      <c r="G580">
        <v>6</v>
      </c>
      <c r="H580">
        <v>1715</v>
      </c>
      <c r="I580">
        <v>49</v>
      </c>
      <c r="J580">
        <v>916</v>
      </c>
      <c r="K580">
        <v>3</v>
      </c>
      <c r="L580" t="s">
        <v>34</v>
      </c>
      <c r="M580" s="2">
        <f t="shared" si="9"/>
        <v>285.83333333333331</v>
      </c>
      <c r="N5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80" s="1">
        <f>F:F/I:I</f>
        <v>5.2448979591836737</v>
      </c>
    </row>
    <row r="581" spans="1:15" x14ac:dyDescent="0.3">
      <c r="A581">
        <v>580</v>
      </c>
      <c r="B581">
        <v>36</v>
      </c>
      <c r="C581" t="s">
        <v>11</v>
      </c>
      <c r="D581" t="s">
        <v>16</v>
      </c>
      <c r="E581" t="s">
        <v>13</v>
      </c>
      <c r="F581">
        <v>47</v>
      </c>
      <c r="G581">
        <v>1.1000000000000001</v>
      </c>
      <c r="H581">
        <v>532</v>
      </c>
      <c r="I581">
        <v>18</v>
      </c>
      <c r="J581">
        <v>122</v>
      </c>
      <c r="K581">
        <v>1</v>
      </c>
      <c r="L581" t="s">
        <v>35</v>
      </c>
      <c r="M581" s="2">
        <f t="shared" si="9"/>
        <v>483.63636363636357</v>
      </c>
      <c r="N5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81" s="1">
        <f>F:F/I:I</f>
        <v>2.6111111111111112</v>
      </c>
    </row>
    <row r="582" spans="1:15" x14ac:dyDescent="0.3">
      <c r="A582">
        <v>581</v>
      </c>
      <c r="B582">
        <v>27</v>
      </c>
      <c r="C582" t="s">
        <v>14</v>
      </c>
      <c r="D582" t="s">
        <v>18</v>
      </c>
      <c r="E582" t="s">
        <v>19</v>
      </c>
      <c r="F582">
        <v>527</v>
      </c>
      <c r="G582">
        <v>10</v>
      </c>
      <c r="H582">
        <v>2430</v>
      </c>
      <c r="I582">
        <v>82</v>
      </c>
      <c r="J582">
        <v>1737</v>
      </c>
      <c r="K582">
        <v>5</v>
      </c>
      <c r="L582" t="s">
        <v>36</v>
      </c>
      <c r="M582" s="2">
        <f t="shared" si="9"/>
        <v>243</v>
      </c>
      <c r="N5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82" s="1">
        <f>F:F/I:I</f>
        <v>6.4268292682926829</v>
      </c>
    </row>
    <row r="583" spans="1:15" x14ac:dyDescent="0.3">
      <c r="A583">
        <v>582</v>
      </c>
      <c r="B583">
        <v>27</v>
      </c>
      <c r="C583" t="s">
        <v>11</v>
      </c>
      <c r="D583" t="s">
        <v>16</v>
      </c>
      <c r="E583" t="s">
        <v>13</v>
      </c>
      <c r="F583">
        <v>148</v>
      </c>
      <c r="G583">
        <v>2.7</v>
      </c>
      <c r="H583">
        <v>625</v>
      </c>
      <c r="I583">
        <v>34</v>
      </c>
      <c r="J583">
        <v>416</v>
      </c>
      <c r="K583">
        <v>2</v>
      </c>
      <c r="L583" t="s">
        <v>36</v>
      </c>
      <c r="M583" s="2">
        <f t="shared" si="9"/>
        <v>231.48148148148147</v>
      </c>
      <c r="N5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83" s="1">
        <f>F:F/I:I</f>
        <v>4.3529411764705879</v>
      </c>
    </row>
    <row r="584" spans="1:15" x14ac:dyDescent="0.3">
      <c r="A584">
        <v>583</v>
      </c>
      <c r="B584">
        <v>19</v>
      </c>
      <c r="C584" t="s">
        <v>14</v>
      </c>
      <c r="D584" t="s">
        <v>18</v>
      </c>
      <c r="E584" t="s">
        <v>19</v>
      </c>
      <c r="F584">
        <v>191</v>
      </c>
      <c r="G584">
        <v>5.7</v>
      </c>
      <c r="H584">
        <v>1414</v>
      </c>
      <c r="I584">
        <v>53</v>
      </c>
      <c r="J584">
        <v>991</v>
      </c>
      <c r="K584">
        <v>3</v>
      </c>
      <c r="L584" t="s">
        <v>42</v>
      </c>
      <c r="M584" s="2">
        <f t="shared" si="9"/>
        <v>248.07017543859649</v>
      </c>
      <c r="N5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584" s="1">
        <f>F:F/I:I</f>
        <v>3.6037735849056602</v>
      </c>
    </row>
    <row r="585" spans="1:15" x14ac:dyDescent="0.3">
      <c r="A585">
        <v>584</v>
      </c>
      <c r="B585">
        <v>43</v>
      </c>
      <c r="C585" t="s">
        <v>14</v>
      </c>
      <c r="D585" t="s">
        <v>15</v>
      </c>
      <c r="E585" t="s">
        <v>13</v>
      </c>
      <c r="F585">
        <v>71</v>
      </c>
      <c r="G585">
        <v>1.9</v>
      </c>
      <c r="H585">
        <v>571</v>
      </c>
      <c r="I585">
        <v>10</v>
      </c>
      <c r="J585">
        <v>117</v>
      </c>
      <c r="K585">
        <v>1</v>
      </c>
      <c r="L585" t="s">
        <v>34</v>
      </c>
      <c r="M585" s="2">
        <f t="shared" si="9"/>
        <v>300.5263157894737</v>
      </c>
      <c r="N5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85" s="1">
        <f>F:F/I:I</f>
        <v>7.1</v>
      </c>
    </row>
    <row r="586" spans="1:15" x14ac:dyDescent="0.3">
      <c r="A586">
        <v>585</v>
      </c>
      <c r="B586">
        <v>30</v>
      </c>
      <c r="C586" t="s">
        <v>14</v>
      </c>
      <c r="D586" t="s">
        <v>17</v>
      </c>
      <c r="E586" t="s">
        <v>13</v>
      </c>
      <c r="F586">
        <v>73</v>
      </c>
      <c r="G586">
        <v>1.3</v>
      </c>
      <c r="H586">
        <v>538</v>
      </c>
      <c r="I586">
        <v>19</v>
      </c>
      <c r="J586">
        <v>175</v>
      </c>
      <c r="K586">
        <v>1</v>
      </c>
      <c r="L586" t="s">
        <v>40</v>
      </c>
      <c r="M586" s="2">
        <f t="shared" si="9"/>
        <v>413.84615384615381</v>
      </c>
      <c r="N5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86" s="1">
        <f>F:F/I:I</f>
        <v>3.8421052631578947</v>
      </c>
    </row>
    <row r="587" spans="1:15" x14ac:dyDescent="0.3">
      <c r="A587">
        <v>586</v>
      </c>
      <c r="B587">
        <v>29</v>
      </c>
      <c r="C587" t="s">
        <v>11</v>
      </c>
      <c r="D587" t="s">
        <v>17</v>
      </c>
      <c r="E587" t="s">
        <v>13</v>
      </c>
      <c r="F587">
        <v>149</v>
      </c>
      <c r="G587">
        <v>3.1</v>
      </c>
      <c r="H587">
        <v>1191</v>
      </c>
      <c r="I587">
        <v>28</v>
      </c>
      <c r="J587">
        <v>563</v>
      </c>
      <c r="K587">
        <v>2</v>
      </c>
      <c r="L587" t="s">
        <v>36</v>
      </c>
      <c r="M587" s="2">
        <f t="shared" si="9"/>
        <v>384.19354838709677</v>
      </c>
      <c r="N5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87" s="1">
        <f>F:F/I:I</f>
        <v>5.3214285714285712</v>
      </c>
    </row>
    <row r="588" spans="1:15" x14ac:dyDescent="0.3">
      <c r="A588">
        <v>587</v>
      </c>
      <c r="B588">
        <v>43</v>
      </c>
      <c r="C588" t="s">
        <v>14</v>
      </c>
      <c r="D588" t="s">
        <v>12</v>
      </c>
      <c r="E588" t="s">
        <v>13</v>
      </c>
      <c r="F588">
        <v>197</v>
      </c>
      <c r="G588">
        <v>4.4000000000000004</v>
      </c>
      <c r="H588">
        <v>1665</v>
      </c>
      <c r="I588">
        <v>44</v>
      </c>
      <c r="J588">
        <v>608</v>
      </c>
      <c r="K588">
        <v>3</v>
      </c>
      <c r="L588" t="s">
        <v>34</v>
      </c>
      <c r="M588" s="2">
        <f t="shared" si="9"/>
        <v>378.40909090909088</v>
      </c>
      <c r="N5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88" s="1">
        <f>F:F/I:I</f>
        <v>4.4772727272727275</v>
      </c>
    </row>
    <row r="589" spans="1:15" x14ac:dyDescent="0.3">
      <c r="A589">
        <v>588</v>
      </c>
      <c r="B589">
        <v>24</v>
      </c>
      <c r="C589" t="s">
        <v>11</v>
      </c>
      <c r="D589" t="s">
        <v>16</v>
      </c>
      <c r="E589" t="s">
        <v>13</v>
      </c>
      <c r="F589">
        <v>328</v>
      </c>
      <c r="G589">
        <v>6.1</v>
      </c>
      <c r="H589">
        <v>1975</v>
      </c>
      <c r="I589">
        <v>72</v>
      </c>
      <c r="J589">
        <v>1101</v>
      </c>
      <c r="K589">
        <v>4</v>
      </c>
      <c r="L589" t="s">
        <v>39</v>
      </c>
      <c r="M589" s="2">
        <f t="shared" si="9"/>
        <v>323.77049180327873</v>
      </c>
      <c r="N5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89" s="1">
        <f>F:F/I:I</f>
        <v>4.5555555555555554</v>
      </c>
    </row>
    <row r="590" spans="1:15" x14ac:dyDescent="0.3">
      <c r="A590">
        <v>589</v>
      </c>
      <c r="B590">
        <v>36</v>
      </c>
      <c r="C590" t="s">
        <v>11</v>
      </c>
      <c r="D590" t="s">
        <v>17</v>
      </c>
      <c r="E590" t="s">
        <v>13</v>
      </c>
      <c r="F590">
        <v>424</v>
      </c>
      <c r="G590">
        <v>7.5</v>
      </c>
      <c r="H590">
        <v>1995</v>
      </c>
      <c r="I590">
        <v>75</v>
      </c>
      <c r="J590">
        <v>1228</v>
      </c>
      <c r="K590">
        <v>4</v>
      </c>
      <c r="L590" t="s">
        <v>35</v>
      </c>
      <c r="M590" s="2">
        <f t="shared" si="9"/>
        <v>266</v>
      </c>
      <c r="N5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90" s="1">
        <f>F:F/I:I</f>
        <v>5.6533333333333333</v>
      </c>
    </row>
    <row r="591" spans="1:15" x14ac:dyDescent="0.3">
      <c r="A591">
        <v>590</v>
      </c>
      <c r="B591">
        <v>39</v>
      </c>
      <c r="C591" t="s">
        <v>14</v>
      </c>
      <c r="D591" t="s">
        <v>16</v>
      </c>
      <c r="E591" t="s">
        <v>13</v>
      </c>
      <c r="F591">
        <v>111</v>
      </c>
      <c r="G591">
        <v>3.6</v>
      </c>
      <c r="H591">
        <v>627</v>
      </c>
      <c r="I591">
        <v>26</v>
      </c>
      <c r="J591">
        <v>464</v>
      </c>
      <c r="K591">
        <v>2</v>
      </c>
      <c r="L591" t="s">
        <v>35</v>
      </c>
      <c r="M591" s="2">
        <f t="shared" si="9"/>
        <v>174.16666666666666</v>
      </c>
      <c r="N5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91" s="1">
        <f>F:F/I:I</f>
        <v>4.2692307692307692</v>
      </c>
    </row>
    <row r="592" spans="1:15" x14ac:dyDescent="0.3">
      <c r="A592">
        <v>591</v>
      </c>
      <c r="B592">
        <v>30</v>
      </c>
      <c r="C592" t="s">
        <v>11</v>
      </c>
      <c r="D592" t="s">
        <v>16</v>
      </c>
      <c r="E592" t="s">
        <v>13</v>
      </c>
      <c r="F592">
        <v>159</v>
      </c>
      <c r="G592">
        <v>3.7</v>
      </c>
      <c r="H592">
        <v>630</v>
      </c>
      <c r="I592">
        <v>33</v>
      </c>
      <c r="J592">
        <v>575</v>
      </c>
      <c r="K592">
        <v>2</v>
      </c>
      <c r="L592" t="s">
        <v>40</v>
      </c>
      <c r="M592" s="2">
        <f t="shared" si="9"/>
        <v>170.27027027027026</v>
      </c>
      <c r="N5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592" s="1">
        <f>F:F/I:I</f>
        <v>4.8181818181818183</v>
      </c>
    </row>
    <row r="593" spans="1:15" x14ac:dyDescent="0.3">
      <c r="A593">
        <v>592</v>
      </c>
      <c r="B593">
        <v>36</v>
      </c>
      <c r="C593" t="s">
        <v>14</v>
      </c>
      <c r="D593" t="s">
        <v>15</v>
      </c>
      <c r="E593" t="s">
        <v>13</v>
      </c>
      <c r="F593">
        <v>580</v>
      </c>
      <c r="G593">
        <v>11.5</v>
      </c>
      <c r="H593">
        <v>2767</v>
      </c>
      <c r="I593">
        <v>84</v>
      </c>
      <c r="J593">
        <v>2341</v>
      </c>
      <c r="K593">
        <v>5</v>
      </c>
      <c r="L593" t="s">
        <v>35</v>
      </c>
      <c r="M593" s="2">
        <f t="shared" si="9"/>
        <v>240.60869565217391</v>
      </c>
      <c r="N5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593" s="1">
        <f>F:F/I:I</f>
        <v>6.9047619047619051</v>
      </c>
    </row>
    <row r="594" spans="1:15" x14ac:dyDescent="0.3">
      <c r="A594">
        <v>593</v>
      </c>
      <c r="B594">
        <v>22</v>
      </c>
      <c r="C594" t="s">
        <v>14</v>
      </c>
      <c r="D594" t="s">
        <v>16</v>
      </c>
      <c r="E594" t="s">
        <v>13</v>
      </c>
      <c r="F594">
        <v>379</v>
      </c>
      <c r="G594">
        <v>7.7</v>
      </c>
      <c r="H594">
        <v>1809</v>
      </c>
      <c r="I594">
        <v>64</v>
      </c>
      <c r="J594">
        <v>1050</v>
      </c>
      <c r="K594">
        <v>4</v>
      </c>
      <c r="L594" t="s">
        <v>39</v>
      </c>
      <c r="M594" s="2">
        <f t="shared" si="9"/>
        <v>234.93506493506493</v>
      </c>
      <c r="N5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94" s="1">
        <f>F:F/I:I</f>
        <v>5.921875</v>
      </c>
    </row>
    <row r="595" spans="1:15" x14ac:dyDescent="0.3">
      <c r="A595">
        <v>594</v>
      </c>
      <c r="B595">
        <v>26</v>
      </c>
      <c r="C595" t="s">
        <v>14</v>
      </c>
      <c r="D595" t="s">
        <v>16</v>
      </c>
      <c r="E595" t="s">
        <v>13</v>
      </c>
      <c r="F595">
        <v>217</v>
      </c>
      <c r="G595">
        <v>4.2</v>
      </c>
      <c r="H595">
        <v>1500</v>
      </c>
      <c r="I595">
        <v>42</v>
      </c>
      <c r="J595">
        <v>677</v>
      </c>
      <c r="K595">
        <v>3</v>
      </c>
      <c r="L595" t="s">
        <v>36</v>
      </c>
      <c r="M595" s="2">
        <f t="shared" si="9"/>
        <v>357.14285714285711</v>
      </c>
      <c r="N5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595" s="1">
        <f>F:F/I:I</f>
        <v>5.166666666666667</v>
      </c>
    </row>
    <row r="596" spans="1:15" x14ac:dyDescent="0.3">
      <c r="A596">
        <v>595</v>
      </c>
      <c r="B596">
        <v>48</v>
      </c>
      <c r="C596" t="s">
        <v>11</v>
      </c>
      <c r="D596" t="s">
        <v>12</v>
      </c>
      <c r="E596" t="s">
        <v>13</v>
      </c>
      <c r="F596">
        <v>447</v>
      </c>
      <c r="G596">
        <v>6.3</v>
      </c>
      <c r="H596">
        <v>1959</v>
      </c>
      <c r="I596">
        <v>63</v>
      </c>
      <c r="J596">
        <v>1441</v>
      </c>
      <c r="K596">
        <v>4</v>
      </c>
      <c r="L596" t="s">
        <v>41</v>
      </c>
      <c r="M596" s="2">
        <f t="shared" si="9"/>
        <v>310.95238095238096</v>
      </c>
      <c r="N5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596" s="1">
        <f>F:F/I:I</f>
        <v>7.0952380952380949</v>
      </c>
    </row>
    <row r="597" spans="1:15" x14ac:dyDescent="0.3">
      <c r="A597">
        <v>596</v>
      </c>
      <c r="B597">
        <v>41</v>
      </c>
      <c r="C597" t="s">
        <v>11</v>
      </c>
      <c r="D597" t="s">
        <v>17</v>
      </c>
      <c r="E597" t="s">
        <v>13</v>
      </c>
      <c r="F597">
        <v>512</v>
      </c>
      <c r="G597">
        <v>10.5</v>
      </c>
      <c r="H597">
        <v>2538</v>
      </c>
      <c r="I597">
        <v>82</v>
      </c>
      <c r="J597">
        <v>1694</v>
      </c>
      <c r="K597">
        <v>5</v>
      </c>
      <c r="L597" t="s">
        <v>34</v>
      </c>
      <c r="M597" s="2">
        <f t="shared" si="9"/>
        <v>241.71428571428572</v>
      </c>
      <c r="N5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597" s="1">
        <f>F:F/I:I</f>
        <v>6.2439024390243905</v>
      </c>
    </row>
    <row r="598" spans="1:15" x14ac:dyDescent="0.3">
      <c r="A598">
        <v>597</v>
      </c>
      <c r="B598">
        <v>21</v>
      </c>
      <c r="C598" t="s">
        <v>11</v>
      </c>
      <c r="D598" t="s">
        <v>12</v>
      </c>
      <c r="E598" t="s">
        <v>13</v>
      </c>
      <c r="F598">
        <v>511</v>
      </c>
      <c r="G598">
        <v>10.8</v>
      </c>
      <c r="H598">
        <v>2529</v>
      </c>
      <c r="I598">
        <v>91</v>
      </c>
      <c r="J598">
        <v>2387</v>
      </c>
      <c r="K598">
        <v>5</v>
      </c>
      <c r="L598" t="s">
        <v>39</v>
      </c>
      <c r="M598" s="2">
        <f t="shared" si="9"/>
        <v>234.16666666666666</v>
      </c>
      <c r="N5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598" s="1">
        <f>F:F/I:I</f>
        <v>5.615384615384615</v>
      </c>
    </row>
    <row r="599" spans="1:15" x14ac:dyDescent="0.3">
      <c r="A599">
        <v>598</v>
      </c>
      <c r="B599">
        <v>59</v>
      </c>
      <c r="C599" t="s">
        <v>11</v>
      </c>
      <c r="D599" t="s">
        <v>17</v>
      </c>
      <c r="E599" t="s">
        <v>13</v>
      </c>
      <c r="F599">
        <v>140</v>
      </c>
      <c r="G599">
        <v>2.5</v>
      </c>
      <c r="H599">
        <v>825</v>
      </c>
      <c r="I599">
        <v>31</v>
      </c>
      <c r="J599">
        <v>347</v>
      </c>
      <c r="K599">
        <v>2</v>
      </c>
      <c r="L599" t="s">
        <v>37</v>
      </c>
      <c r="M599" s="2">
        <f t="shared" si="9"/>
        <v>330</v>
      </c>
      <c r="N5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599" s="1">
        <f>F:F/I:I</f>
        <v>4.5161290322580649</v>
      </c>
    </row>
    <row r="600" spans="1:15" x14ac:dyDescent="0.3">
      <c r="A600">
        <v>599</v>
      </c>
      <c r="B600">
        <v>28</v>
      </c>
      <c r="C600" t="s">
        <v>11</v>
      </c>
      <c r="D600" t="s">
        <v>16</v>
      </c>
      <c r="E600" t="s">
        <v>13</v>
      </c>
      <c r="F600">
        <v>114</v>
      </c>
      <c r="G600">
        <v>3</v>
      </c>
      <c r="H600">
        <v>1131</v>
      </c>
      <c r="I600">
        <v>31</v>
      </c>
      <c r="J600">
        <v>596</v>
      </c>
      <c r="K600">
        <v>2</v>
      </c>
      <c r="L600" t="s">
        <v>36</v>
      </c>
      <c r="M600" s="2">
        <f t="shared" si="9"/>
        <v>377</v>
      </c>
      <c r="N6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00" s="1">
        <f>F:F/I:I</f>
        <v>3.6774193548387095</v>
      </c>
    </row>
    <row r="601" spans="1:15" x14ac:dyDescent="0.3">
      <c r="A601">
        <v>600</v>
      </c>
      <c r="B601">
        <v>47</v>
      </c>
      <c r="C601" t="s">
        <v>14</v>
      </c>
      <c r="D601" t="s">
        <v>16</v>
      </c>
      <c r="E601" t="s">
        <v>13</v>
      </c>
      <c r="F601">
        <v>192</v>
      </c>
      <c r="G601">
        <v>4.3</v>
      </c>
      <c r="H601">
        <v>1382</v>
      </c>
      <c r="I601">
        <v>42</v>
      </c>
      <c r="J601">
        <v>905</v>
      </c>
      <c r="K601">
        <v>3</v>
      </c>
      <c r="L601" t="s">
        <v>41</v>
      </c>
      <c r="M601" s="2">
        <f t="shared" si="9"/>
        <v>321.39534883720933</v>
      </c>
      <c r="N6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01" s="1">
        <f>F:F/I:I</f>
        <v>4.5714285714285712</v>
      </c>
    </row>
    <row r="602" spans="1:15" x14ac:dyDescent="0.3">
      <c r="A602">
        <v>601</v>
      </c>
      <c r="B602">
        <v>30</v>
      </c>
      <c r="C602" t="s">
        <v>14</v>
      </c>
      <c r="D602" t="s">
        <v>18</v>
      </c>
      <c r="E602" t="s">
        <v>19</v>
      </c>
      <c r="F602">
        <v>325</v>
      </c>
      <c r="G602">
        <v>6</v>
      </c>
      <c r="H602">
        <v>2244</v>
      </c>
      <c r="I602">
        <v>70</v>
      </c>
      <c r="J602">
        <v>1296</v>
      </c>
      <c r="K602">
        <v>4</v>
      </c>
      <c r="L602" t="s">
        <v>40</v>
      </c>
      <c r="M602" s="2">
        <f t="shared" si="9"/>
        <v>374</v>
      </c>
      <c r="N60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02" s="1">
        <f>F:F/I:I</f>
        <v>4.6428571428571432</v>
      </c>
    </row>
    <row r="603" spans="1:15" x14ac:dyDescent="0.3">
      <c r="A603">
        <v>602</v>
      </c>
      <c r="B603">
        <v>44</v>
      </c>
      <c r="C603" t="s">
        <v>11</v>
      </c>
      <c r="D603" t="s">
        <v>17</v>
      </c>
      <c r="E603" t="s">
        <v>13</v>
      </c>
      <c r="F603">
        <v>83</v>
      </c>
      <c r="G603">
        <v>1.2</v>
      </c>
      <c r="H603">
        <v>545</v>
      </c>
      <c r="I603">
        <v>15</v>
      </c>
      <c r="J603">
        <v>284</v>
      </c>
      <c r="K603">
        <v>1</v>
      </c>
      <c r="L603" t="s">
        <v>34</v>
      </c>
      <c r="M603" s="2">
        <f t="shared" si="9"/>
        <v>454.16666666666669</v>
      </c>
      <c r="N60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03" s="1">
        <f>F:F/I:I</f>
        <v>5.5333333333333332</v>
      </c>
    </row>
    <row r="604" spans="1:15" x14ac:dyDescent="0.3">
      <c r="A604">
        <v>603</v>
      </c>
      <c r="B604">
        <v>43</v>
      </c>
      <c r="C604" t="s">
        <v>11</v>
      </c>
      <c r="D604" t="s">
        <v>17</v>
      </c>
      <c r="E604" t="s">
        <v>13</v>
      </c>
      <c r="F604">
        <v>122</v>
      </c>
      <c r="G604">
        <v>3</v>
      </c>
      <c r="H604">
        <v>922</v>
      </c>
      <c r="I604">
        <v>32</v>
      </c>
      <c r="J604">
        <v>373</v>
      </c>
      <c r="K604">
        <v>2</v>
      </c>
      <c r="L604" t="s">
        <v>34</v>
      </c>
      <c r="M604" s="2">
        <f t="shared" si="9"/>
        <v>307.33333333333331</v>
      </c>
      <c r="N60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04" s="1">
        <f>F:F/I:I</f>
        <v>3.8125</v>
      </c>
    </row>
    <row r="605" spans="1:15" x14ac:dyDescent="0.3">
      <c r="A605">
        <v>604</v>
      </c>
      <c r="B605">
        <v>41</v>
      </c>
      <c r="C605" t="s">
        <v>14</v>
      </c>
      <c r="D605" t="s">
        <v>17</v>
      </c>
      <c r="E605" t="s">
        <v>13</v>
      </c>
      <c r="F605">
        <v>138</v>
      </c>
      <c r="G605">
        <v>2.1</v>
      </c>
      <c r="H605">
        <v>660</v>
      </c>
      <c r="I605">
        <v>22</v>
      </c>
      <c r="J605">
        <v>424</v>
      </c>
      <c r="K605">
        <v>2</v>
      </c>
      <c r="L605" t="s">
        <v>34</v>
      </c>
      <c r="M605" s="2">
        <f t="shared" si="9"/>
        <v>314.28571428571428</v>
      </c>
      <c r="N60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05" s="1">
        <f>F:F/I:I</f>
        <v>6.2727272727272725</v>
      </c>
    </row>
    <row r="606" spans="1:15" x14ac:dyDescent="0.3">
      <c r="A606">
        <v>605</v>
      </c>
      <c r="B606">
        <v>54</v>
      </c>
      <c r="C606" t="s">
        <v>14</v>
      </c>
      <c r="D606" t="s">
        <v>17</v>
      </c>
      <c r="E606" t="s">
        <v>13</v>
      </c>
      <c r="F606">
        <v>182</v>
      </c>
      <c r="G606">
        <v>5.3</v>
      </c>
      <c r="H606">
        <v>1278</v>
      </c>
      <c r="I606">
        <v>42</v>
      </c>
      <c r="J606">
        <v>885</v>
      </c>
      <c r="K606">
        <v>3</v>
      </c>
      <c r="L606" t="s">
        <v>38</v>
      </c>
      <c r="M606" s="2">
        <f t="shared" si="9"/>
        <v>241.13207547169813</v>
      </c>
      <c r="N60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06" s="1">
        <f>F:F/I:I</f>
        <v>4.333333333333333</v>
      </c>
    </row>
    <row r="607" spans="1:15" x14ac:dyDescent="0.3">
      <c r="A607">
        <v>606</v>
      </c>
      <c r="B607">
        <v>53</v>
      </c>
      <c r="C607" t="s">
        <v>14</v>
      </c>
      <c r="D607" t="s">
        <v>17</v>
      </c>
      <c r="E607" t="s">
        <v>13</v>
      </c>
      <c r="F607">
        <v>425</v>
      </c>
      <c r="G607">
        <v>6</v>
      </c>
      <c r="H607">
        <v>1928</v>
      </c>
      <c r="I607">
        <v>72</v>
      </c>
      <c r="J607">
        <v>1150</v>
      </c>
      <c r="K607">
        <v>4</v>
      </c>
      <c r="L607" t="s">
        <v>38</v>
      </c>
      <c r="M607" s="2">
        <f t="shared" si="9"/>
        <v>321.33333333333331</v>
      </c>
      <c r="N60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07" s="1">
        <f>F:F/I:I</f>
        <v>5.9027777777777777</v>
      </c>
    </row>
    <row r="608" spans="1:15" x14ac:dyDescent="0.3">
      <c r="A608">
        <v>607</v>
      </c>
      <c r="B608">
        <v>37</v>
      </c>
      <c r="C608" t="s">
        <v>14</v>
      </c>
      <c r="D608" t="s">
        <v>17</v>
      </c>
      <c r="E608" t="s">
        <v>13</v>
      </c>
      <c r="F608">
        <v>580</v>
      </c>
      <c r="G608">
        <v>10.4</v>
      </c>
      <c r="H608">
        <v>2496</v>
      </c>
      <c r="I608">
        <v>81</v>
      </c>
      <c r="J608">
        <v>2441</v>
      </c>
      <c r="K608">
        <v>5</v>
      </c>
      <c r="L608" t="s">
        <v>35</v>
      </c>
      <c r="M608" s="2">
        <f t="shared" si="9"/>
        <v>240</v>
      </c>
      <c r="N60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08" s="1">
        <f>F:F/I:I</f>
        <v>7.1604938271604937</v>
      </c>
    </row>
    <row r="609" spans="1:15" x14ac:dyDescent="0.3">
      <c r="A609">
        <v>608</v>
      </c>
      <c r="B609">
        <v>21</v>
      </c>
      <c r="C609" t="s">
        <v>11</v>
      </c>
      <c r="D609" t="s">
        <v>12</v>
      </c>
      <c r="E609" t="s">
        <v>13</v>
      </c>
      <c r="F609">
        <v>203</v>
      </c>
      <c r="G609">
        <v>4</v>
      </c>
      <c r="H609">
        <v>1323</v>
      </c>
      <c r="I609">
        <v>56</v>
      </c>
      <c r="J609">
        <v>787</v>
      </c>
      <c r="K609">
        <v>3</v>
      </c>
      <c r="L609" t="s">
        <v>39</v>
      </c>
      <c r="M609" s="2">
        <f t="shared" si="9"/>
        <v>330.75</v>
      </c>
      <c r="N60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09" s="1">
        <f>F:F/I:I</f>
        <v>3.625</v>
      </c>
    </row>
    <row r="610" spans="1:15" x14ac:dyDescent="0.3">
      <c r="A610">
        <v>609</v>
      </c>
      <c r="B610">
        <v>40</v>
      </c>
      <c r="C610" t="s">
        <v>14</v>
      </c>
      <c r="D610" t="s">
        <v>12</v>
      </c>
      <c r="E610" t="s">
        <v>13</v>
      </c>
      <c r="F610">
        <v>258</v>
      </c>
      <c r="G610">
        <v>4.9000000000000004</v>
      </c>
      <c r="H610">
        <v>1596</v>
      </c>
      <c r="I610">
        <v>56</v>
      </c>
      <c r="J610">
        <v>937</v>
      </c>
      <c r="K610">
        <v>3</v>
      </c>
      <c r="L610" t="s">
        <v>34</v>
      </c>
      <c r="M610" s="2">
        <f t="shared" si="9"/>
        <v>325.71428571428567</v>
      </c>
      <c r="N61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10" s="1">
        <f>F:F/I:I</f>
        <v>4.6071428571428568</v>
      </c>
    </row>
    <row r="611" spans="1:15" x14ac:dyDescent="0.3">
      <c r="A611">
        <v>610</v>
      </c>
      <c r="B611">
        <v>51</v>
      </c>
      <c r="C611" t="s">
        <v>11</v>
      </c>
      <c r="D611" t="s">
        <v>18</v>
      </c>
      <c r="E611" t="s">
        <v>19</v>
      </c>
      <c r="F611">
        <v>551</v>
      </c>
      <c r="G611">
        <v>8.5</v>
      </c>
      <c r="H611">
        <v>2927</v>
      </c>
      <c r="I611">
        <v>92</v>
      </c>
      <c r="J611">
        <v>1901</v>
      </c>
      <c r="K611">
        <v>5</v>
      </c>
      <c r="L611" t="s">
        <v>38</v>
      </c>
      <c r="M611" s="2">
        <f t="shared" si="9"/>
        <v>344.35294117647061</v>
      </c>
      <c r="N61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11" s="1">
        <f>F:F/I:I</f>
        <v>5.9891304347826084</v>
      </c>
    </row>
    <row r="612" spans="1:15" x14ac:dyDescent="0.3">
      <c r="A612">
        <v>611</v>
      </c>
      <c r="B612">
        <v>48</v>
      </c>
      <c r="C612" t="s">
        <v>11</v>
      </c>
      <c r="D612" t="s">
        <v>18</v>
      </c>
      <c r="E612" t="s">
        <v>19</v>
      </c>
      <c r="F612">
        <v>507</v>
      </c>
      <c r="G612">
        <v>9.6</v>
      </c>
      <c r="H612">
        <v>2606</v>
      </c>
      <c r="I612">
        <v>95</v>
      </c>
      <c r="J612">
        <v>1543</v>
      </c>
      <c r="K612">
        <v>5</v>
      </c>
      <c r="L612" t="s">
        <v>41</v>
      </c>
      <c r="M612" s="2">
        <f t="shared" si="9"/>
        <v>271.45833333333337</v>
      </c>
      <c r="N61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12" s="1">
        <f>F:F/I:I</f>
        <v>5.3368421052631581</v>
      </c>
    </row>
    <row r="613" spans="1:15" x14ac:dyDescent="0.3">
      <c r="A613">
        <v>612</v>
      </c>
      <c r="B613">
        <v>37</v>
      </c>
      <c r="C613" t="s">
        <v>11</v>
      </c>
      <c r="D613" t="s">
        <v>12</v>
      </c>
      <c r="E613" t="s">
        <v>13</v>
      </c>
      <c r="F613">
        <v>57</v>
      </c>
      <c r="G613">
        <v>1.3</v>
      </c>
      <c r="H613">
        <v>489</v>
      </c>
      <c r="I613">
        <v>16</v>
      </c>
      <c r="J613">
        <v>131</v>
      </c>
      <c r="K613">
        <v>1</v>
      </c>
      <c r="L613" t="s">
        <v>35</v>
      </c>
      <c r="M613" s="2">
        <f t="shared" si="9"/>
        <v>376.15384615384613</v>
      </c>
      <c r="N61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13" s="1">
        <f>F:F/I:I</f>
        <v>3.5625</v>
      </c>
    </row>
    <row r="614" spans="1:15" x14ac:dyDescent="0.3">
      <c r="A614">
        <v>613</v>
      </c>
      <c r="B614">
        <v>44</v>
      </c>
      <c r="C614" t="s">
        <v>11</v>
      </c>
      <c r="D614" t="s">
        <v>12</v>
      </c>
      <c r="E614" t="s">
        <v>13</v>
      </c>
      <c r="F614">
        <v>553</v>
      </c>
      <c r="G614">
        <v>10.199999999999999</v>
      </c>
      <c r="H614">
        <v>2911</v>
      </c>
      <c r="I614">
        <v>82</v>
      </c>
      <c r="J614">
        <v>2441</v>
      </c>
      <c r="K614">
        <v>5</v>
      </c>
      <c r="L614" t="s">
        <v>34</v>
      </c>
      <c r="M614" s="2">
        <f t="shared" si="9"/>
        <v>285.39215686274514</v>
      </c>
      <c r="N61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14" s="1">
        <f>F:F/I:I</f>
        <v>6.7439024390243905</v>
      </c>
    </row>
    <row r="615" spans="1:15" x14ac:dyDescent="0.3">
      <c r="A615">
        <v>614</v>
      </c>
      <c r="B615">
        <v>46</v>
      </c>
      <c r="C615" t="s">
        <v>14</v>
      </c>
      <c r="D615" t="s">
        <v>15</v>
      </c>
      <c r="E615" t="s">
        <v>13</v>
      </c>
      <c r="F615">
        <v>49</v>
      </c>
      <c r="G615">
        <v>1.1000000000000001</v>
      </c>
      <c r="H615">
        <v>395</v>
      </c>
      <c r="I615">
        <v>16</v>
      </c>
      <c r="J615">
        <v>153</v>
      </c>
      <c r="K615">
        <v>1</v>
      </c>
      <c r="L615" t="s">
        <v>41</v>
      </c>
      <c r="M615" s="2">
        <f t="shared" si="9"/>
        <v>359.09090909090907</v>
      </c>
      <c r="N61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15" s="1">
        <f>F:F/I:I</f>
        <v>3.0625</v>
      </c>
    </row>
    <row r="616" spans="1:15" x14ac:dyDescent="0.3">
      <c r="A616">
        <v>615</v>
      </c>
      <c r="B616">
        <v>18</v>
      </c>
      <c r="C616" t="s">
        <v>11</v>
      </c>
      <c r="D616" t="s">
        <v>16</v>
      </c>
      <c r="E616" t="s">
        <v>13</v>
      </c>
      <c r="F616">
        <v>106</v>
      </c>
      <c r="G616">
        <v>4</v>
      </c>
      <c r="H616">
        <v>1158</v>
      </c>
      <c r="I616">
        <v>23</v>
      </c>
      <c r="J616">
        <v>493</v>
      </c>
      <c r="K616">
        <v>2</v>
      </c>
      <c r="L616" t="s">
        <v>42</v>
      </c>
      <c r="M616" s="2">
        <f t="shared" si="9"/>
        <v>289.5</v>
      </c>
      <c r="N61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616" s="1">
        <f>F:F/I:I</f>
        <v>4.6086956521739131</v>
      </c>
    </row>
    <row r="617" spans="1:15" x14ac:dyDescent="0.3">
      <c r="A617">
        <v>616</v>
      </c>
      <c r="B617">
        <v>52</v>
      </c>
      <c r="C617" t="s">
        <v>11</v>
      </c>
      <c r="D617" t="s">
        <v>15</v>
      </c>
      <c r="E617" t="s">
        <v>13</v>
      </c>
      <c r="F617">
        <v>119</v>
      </c>
      <c r="G617">
        <v>3.7</v>
      </c>
      <c r="H617">
        <v>608</v>
      </c>
      <c r="I617">
        <v>36</v>
      </c>
      <c r="J617">
        <v>461</v>
      </c>
      <c r="K617">
        <v>2</v>
      </c>
      <c r="L617" t="s">
        <v>38</v>
      </c>
      <c r="M617" s="2">
        <f t="shared" si="9"/>
        <v>164.32432432432432</v>
      </c>
      <c r="N61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17" s="1">
        <f>F:F/I:I</f>
        <v>3.3055555555555554</v>
      </c>
    </row>
    <row r="618" spans="1:15" x14ac:dyDescent="0.3">
      <c r="A618">
        <v>617</v>
      </c>
      <c r="B618">
        <v>36</v>
      </c>
      <c r="C618" t="s">
        <v>14</v>
      </c>
      <c r="D618" t="s">
        <v>17</v>
      </c>
      <c r="E618" t="s">
        <v>13</v>
      </c>
      <c r="F618">
        <v>288</v>
      </c>
      <c r="G618">
        <v>5.4</v>
      </c>
      <c r="H618">
        <v>1476</v>
      </c>
      <c r="I618">
        <v>49</v>
      </c>
      <c r="J618">
        <v>767</v>
      </c>
      <c r="K618">
        <v>3</v>
      </c>
      <c r="L618" t="s">
        <v>35</v>
      </c>
      <c r="M618" s="2">
        <f t="shared" si="9"/>
        <v>273.33333333333331</v>
      </c>
      <c r="N61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18" s="1">
        <f>F:F/I:I</f>
        <v>5.8775510204081636</v>
      </c>
    </row>
    <row r="619" spans="1:15" x14ac:dyDescent="0.3">
      <c r="A619">
        <v>618</v>
      </c>
      <c r="B619">
        <v>36</v>
      </c>
      <c r="C619" t="s">
        <v>14</v>
      </c>
      <c r="D619" t="s">
        <v>15</v>
      </c>
      <c r="E619" t="s">
        <v>13</v>
      </c>
      <c r="F619">
        <v>225</v>
      </c>
      <c r="G619">
        <v>5.6</v>
      </c>
      <c r="H619">
        <v>1388</v>
      </c>
      <c r="I619">
        <v>55</v>
      </c>
      <c r="J619">
        <v>965</v>
      </c>
      <c r="K619">
        <v>3</v>
      </c>
      <c r="L619" t="s">
        <v>35</v>
      </c>
      <c r="M619" s="2">
        <f t="shared" si="9"/>
        <v>247.85714285714286</v>
      </c>
      <c r="N61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19" s="1">
        <f>F:F/I:I</f>
        <v>4.0909090909090908</v>
      </c>
    </row>
    <row r="620" spans="1:15" x14ac:dyDescent="0.3">
      <c r="A620">
        <v>619</v>
      </c>
      <c r="B620">
        <v>26</v>
      </c>
      <c r="C620" t="s">
        <v>14</v>
      </c>
      <c r="D620" t="s">
        <v>17</v>
      </c>
      <c r="E620" t="s">
        <v>13</v>
      </c>
      <c r="F620">
        <v>342</v>
      </c>
      <c r="G620">
        <v>7</v>
      </c>
      <c r="H620">
        <v>1826</v>
      </c>
      <c r="I620">
        <v>71</v>
      </c>
      <c r="J620">
        <v>1077</v>
      </c>
      <c r="K620">
        <v>4</v>
      </c>
      <c r="L620" t="s">
        <v>36</v>
      </c>
      <c r="M620" s="2">
        <f t="shared" si="9"/>
        <v>260.85714285714283</v>
      </c>
      <c r="N62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20" s="1">
        <f>F:F/I:I</f>
        <v>4.816901408450704</v>
      </c>
    </row>
    <row r="621" spans="1:15" x14ac:dyDescent="0.3">
      <c r="A621">
        <v>620</v>
      </c>
      <c r="B621">
        <v>59</v>
      </c>
      <c r="C621" t="s">
        <v>11</v>
      </c>
      <c r="D621" t="s">
        <v>16</v>
      </c>
      <c r="E621" t="s">
        <v>13</v>
      </c>
      <c r="F621">
        <v>292</v>
      </c>
      <c r="G621">
        <v>4.2</v>
      </c>
      <c r="H621">
        <v>1407</v>
      </c>
      <c r="I621">
        <v>54</v>
      </c>
      <c r="J621">
        <v>867</v>
      </c>
      <c r="K621">
        <v>3</v>
      </c>
      <c r="L621" t="s">
        <v>37</v>
      </c>
      <c r="M621" s="2">
        <f t="shared" si="9"/>
        <v>335</v>
      </c>
      <c r="N62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21" s="1">
        <f>F:F/I:I</f>
        <v>5.4074074074074074</v>
      </c>
    </row>
    <row r="622" spans="1:15" x14ac:dyDescent="0.3">
      <c r="A622">
        <v>621</v>
      </c>
      <c r="B622">
        <v>59</v>
      </c>
      <c r="C622" t="s">
        <v>14</v>
      </c>
      <c r="D622" t="s">
        <v>18</v>
      </c>
      <c r="E622" t="s">
        <v>19</v>
      </c>
      <c r="F622">
        <v>218</v>
      </c>
      <c r="G622">
        <v>5</v>
      </c>
      <c r="H622">
        <v>1475</v>
      </c>
      <c r="I622">
        <v>46</v>
      </c>
      <c r="J622">
        <v>972</v>
      </c>
      <c r="K622">
        <v>3</v>
      </c>
      <c r="L622" t="s">
        <v>37</v>
      </c>
      <c r="M622" s="2">
        <f t="shared" si="9"/>
        <v>295</v>
      </c>
      <c r="N62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22" s="1">
        <f>F:F/I:I</f>
        <v>4.7391304347826084</v>
      </c>
    </row>
    <row r="623" spans="1:15" x14ac:dyDescent="0.3">
      <c r="A623">
        <v>622</v>
      </c>
      <c r="B623">
        <v>56</v>
      </c>
      <c r="C623" t="s">
        <v>11</v>
      </c>
      <c r="D623" t="s">
        <v>15</v>
      </c>
      <c r="E623" t="s">
        <v>13</v>
      </c>
      <c r="F623">
        <v>64</v>
      </c>
      <c r="G623">
        <v>1.8</v>
      </c>
      <c r="H623">
        <v>351</v>
      </c>
      <c r="I623">
        <v>15</v>
      </c>
      <c r="J623">
        <v>274</v>
      </c>
      <c r="K623">
        <v>1</v>
      </c>
      <c r="L623" t="s">
        <v>37</v>
      </c>
      <c r="M623" s="2">
        <f t="shared" si="9"/>
        <v>195</v>
      </c>
      <c r="N62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23" s="1">
        <f>F:F/I:I</f>
        <v>4.2666666666666666</v>
      </c>
    </row>
    <row r="624" spans="1:15" x14ac:dyDescent="0.3">
      <c r="A624">
        <v>623</v>
      </c>
      <c r="B624">
        <v>41</v>
      </c>
      <c r="C624" t="s">
        <v>14</v>
      </c>
      <c r="D624" t="s">
        <v>12</v>
      </c>
      <c r="E624" t="s">
        <v>13</v>
      </c>
      <c r="F624">
        <v>453</v>
      </c>
      <c r="G624">
        <v>7.4</v>
      </c>
      <c r="H624">
        <v>2363</v>
      </c>
      <c r="I624">
        <v>65</v>
      </c>
      <c r="J624">
        <v>1046</v>
      </c>
      <c r="K624">
        <v>4</v>
      </c>
      <c r="L624" t="s">
        <v>34</v>
      </c>
      <c r="M624" s="2">
        <f t="shared" si="9"/>
        <v>319.32432432432432</v>
      </c>
      <c r="N62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24" s="1">
        <f>F:F/I:I</f>
        <v>6.9692307692307693</v>
      </c>
    </row>
    <row r="625" spans="1:15" x14ac:dyDescent="0.3">
      <c r="A625">
        <v>624</v>
      </c>
      <c r="B625">
        <v>21</v>
      </c>
      <c r="C625" t="s">
        <v>11</v>
      </c>
      <c r="D625" t="s">
        <v>17</v>
      </c>
      <c r="E625" t="s">
        <v>13</v>
      </c>
      <c r="F625">
        <v>42</v>
      </c>
      <c r="G625">
        <v>1.8</v>
      </c>
      <c r="H625">
        <v>417</v>
      </c>
      <c r="I625">
        <v>15</v>
      </c>
      <c r="J625">
        <v>284</v>
      </c>
      <c r="K625">
        <v>1</v>
      </c>
      <c r="L625" t="s">
        <v>39</v>
      </c>
      <c r="M625" s="2">
        <f t="shared" si="9"/>
        <v>231.66666666666666</v>
      </c>
      <c r="N62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25" s="1">
        <f>F:F/I:I</f>
        <v>2.8</v>
      </c>
    </row>
    <row r="626" spans="1:15" x14ac:dyDescent="0.3">
      <c r="A626">
        <v>625</v>
      </c>
      <c r="B626">
        <v>45</v>
      </c>
      <c r="C626" t="s">
        <v>11</v>
      </c>
      <c r="D626" t="s">
        <v>16</v>
      </c>
      <c r="E626" t="s">
        <v>13</v>
      </c>
      <c r="F626">
        <v>36</v>
      </c>
      <c r="G626">
        <v>1.5</v>
      </c>
      <c r="H626">
        <v>310</v>
      </c>
      <c r="I626">
        <v>15</v>
      </c>
      <c r="J626">
        <v>272</v>
      </c>
      <c r="K626">
        <v>1</v>
      </c>
      <c r="L626" t="s">
        <v>41</v>
      </c>
      <c r="M626" s="2">
        <f t="shared" si="9"/>
        <v>206.66666666666666</v>
      </c>
      <c r="N62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26" s="1">
        <f>F:F/I:I</f>
        <v>2.4</v>
      </c>
    </row>
    <row r="627" spans="1:15" x14ac:dyDescent="0.3">
      <c r="A627">
        <v>626</v>
      </c>
      <c r="B627">
        <v>31</v>
      </c>
      <c r="C627" t="s">
        <v>14</v>
      </c>
      <c r="D627" t="s">
        <v>17</v>
      </c>
      <c r="E627" t="s">
        <v>13</v>
      </c>
      <c r="F627">
        <v>55</v>
      </c>
      <c r="G627">
        <v>1.8</v>
      </c>
      <c r="H627">
        <v>328</v>
      </c>
      <c r="I627">
        <v>12</v>
      </c>
      <c r="J627">
        <v>196</v>
      </c>
      <c r="K627">
        <v>1</v>
      </c>
      <c r="L627" t="s">
        <v>40</v>
      </c>
      <c r="M627" s="2">
        <f t="shared" si="9"/>
        <v>182.22222222222223</v>
      </c>
      <c r="N62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27" s="1">
        <f>F:F/I:I</f>
        <v>4.583333333333333</v>
      </c>
    </row>
    <row r="628" spans="1:15" x14ac:dyDescent="0.3">
      <c r="A628">
        <v>627</v>
      </c>
      <c r="B628">
        <v>55</v>
      </c>
      <c r="C628" t="s">
        <v>14</v>
      </c>
      <c r="D628" t="s">
        <v>18</v>
      </c>
      <c r="E628" t="s">
        <v>19</v>
      </c>
      <c r="F628">
        <v>210</v>
      </c>
      <c r="G628">
        <v>5</v>
      </c>
      <c r="H628">
        <v>1614</v>
      </c>
      <c r="I628">
        <v>53</v>
      </c>
      <c r="J628">
        <v>679</v>
      </c>
      <c r="K628">
        <v>3</v>
      </c>
      <c r="L628" t="s">
        <v>37</v>
      </c>
      <c r="M628" s="2">
        <f t="shared" si="9"/>
        <v>322.8</v>
      </c>
      <c r="N62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28" s="1">
        <f>F:F/I:I</f>
        <v>3.9622641509433962</v>
      </c>
    </row>
    <row r="629" spans="1:15" x14ac:dyDescent="0.3">
      <c r="A629">
        <v>628</v>
      </c>
      <c r="B629">
        <v>59</v>
      </c>
      <c r="C629" t="s">
        <v>11</v>
      </c>
      <c r="D629" t="s">
        <v>18</v>
      </c>
      <c r="E629" t="s">
        <v>19</v>
      </c>
      <c r="F629">
        <v>227</v>
      </c>
      <c r="G629">
        <v>5.2</v>
      </c>
      <c r="H629">
        <v>1446</v>
      </c>
      <c r="I629">
        <v>46</v>
      </c>
      <c r="J629">
        <v>920</v>
      </c>
      <c r="K629">
        <v>3</v>
      </c>
      <c r="L629" t="s">
        <v>37</v>
      </c>
      <c r="M629" s="2">
        <f t="shared" si="9"/>
        <v>278.07692307692309</v>
      </c>
      <c r="N62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29" s="1">
        <f>F:F/I:I</f>
        <v>4.9347826086956523</v>
      </c>
    </row>
    <row r="630" spans="1:15" x14ac:dyDescent="0.3">
      <c r="A630">
        <v>629</v>
      </c>
      <c r="B630">
        <v>55</v>
      </c>
      <c r="C630" t="s">
        <v>11</v>
      </c>
      <c r="D630" t="s">
        <v>12</v>
      </c>
      <c r="E630" t="s">
        <v>13</v>
      </c>
      <c r="F630">
        <v>47</v>
      </c>
      <c r="G630">
        <v>1.2</v>
      </c>
      <c r="H630">
        <v>437</v>
      </c>
      <c r="I630">
        <v>18</v>
      </c>
      <c r="J630">
        <v>234</v>
      </c>
      <c r="K630">
        <v>1</v>
      </c>
      <c r="L630" t="s">
        <v>37</v>
      </c>
      <c r="M630" s="2">
        <f t="shared" si="9"/>
        <v>364.16666666666669</v>
      </c>
      <c r="N63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30" s="1">
        <f>F:F/I:I</f>
        <v>2.6111111111111112</v>
      </c>
    </row>
    <row r="631" spans="1:15" x14ac:dyDescent="0.3">
      <c r="A631">
        <v>630</v>
      </c>
      <c r="B631">
        <v>21</v>
      </c>
      <c r="C631" t="s">
        <v>11</v>
      </c>
      <c r="D631" t="s">
        <v>18</v>
      </c>
      <c r="E631" t="s">
        <v>19</v>
      </c>
      <c r="F631">
        <v>461</v>
      </c>
      <c r="G631">
        <v>6.3</v>
      </c>
      <c r="H631">
        <v>1988</v>
      </c>
      <c r="I631">
        <v>62</v>
      </c>
      <c r="J631">
        <v>1004</v>
      </c>
      <c r="K631">
        <v>4</v>
      </c>
      <c r="L631" t="s">
        <v>39</v>
      </c>
      <c r="M631" s="2">
        <f t="shared" si="9"/>
        <v>315.55555555555554</v>
      </c>
      <c r="N63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31" s="1">
        <f>F:F/I:I</f>
        <v>7.435483870967742</v>
      </c>
    </row>
    <row r="632" spans="1:15" x14ac:dyDescent="0.3">
      <c r="A632">
        <v>631</v>
      </c>
      <c r="B632">
        <v>25</v>
      </c>
      <c r="C632" t="s">
        <v>11</v>
      </c>
      <c r="D632" t="s">
        <v>15</v>
      </c>
      <c r="E632" t="s">
        <v>13</v>
      </c>
      <c r="F632">
        <v>94</v>
      </c>
      <c r="G632">
        <v>3.1</v>
      </c>
      <c r="H632">
        <v>1078</v>
      </c>
      <c r="I632">
        <v>38</v>
      </c>
      <c r="J632">
        <v>489</v>
      </c>
      <c r="K632">
        <v>2</v>
      </c>
      <c r="L632" t="s">
        <v>36</v>
      </c>
      <c r="M632" s="2">
        <f t="shared" si="9"/>
        <v>347.74193548387098</v>
      </c>
      <c r="N63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32" s="1">
        <f>F:F/I:I</f>
        <v>2.4736842105263159</v>
      </c>
    </row>
    <row r="633" spans="1:15" x14ac:dyDescent="0.3">
      <c r="A633">
        <v>632</v>
      </c>
      <c r="B633">
        <v>45</v>
      </c>
      <c r="C633" t="s">
        <v>14</v>
      </c>
      <c r="D633" t="s">
        <v>16</v>
      </c>
      <c r="E633" t="s">
        <v>13</v>
      </c>
      <c r="F633">
        <v>216</v>
      </c>
      <c r="G633">
        <v>5.0999999999999996</v>
      </c>
      <c r="H633">
        <v>1483</v>
      </c>
      <c r="I633">
        <v>54</v>
      </c>
      <c r="J633">
        <v>977</v>
      </c>
      <c r="K633">
        <v>3</v>
      </c>
      <c r="L633" t="s">
        <v>41</v>
      </c>
      <c r="M633" s="2">
        <f t="shared" si="9"/>
        <v>290.78431372549022</v>
      </c>
      <c r="N63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33" s="1">
        <f>F:F/I:I</f>
        <v>4</v>
      </c>
    </row>
    <row r="634" spans="1:15" x14ac:dyDescent="0.3">
      <c r="A634">
        <v>633</v>
      </c>
      <c r="B634">
        <v>56</v>
      </c>
      <c r="C634" t="s">
        <v>14</v>
      </c>
      <c r="D634" t="s">
        <v>18</v>
      </c>
      <c r="E634" t="s">
        <v>19</v>
      </c>
      <c r="F634">
        <v>496</v>
      </c>
      <c r="G634">
        <v>10.199999999999999</v>
      </c>
      <c r="H634">
        <v>2587</v>
      </c>
      <c r="I634">
        <v>84</v>
      </c>
      <c r="J634">
        <v>1921</v>
      </c>
      <c r="K634">
        <v>5</v>
      </c>
      <c r="L634" t="s">
        <v>37</v>
      </c>
      <c r="M634" s="2">
        <f t="shared" si="9"/>
        <v>253.62745098039218</v>
      </c>
      <c r="N63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34" s="1">
        <f>F:F/I:I</f>
        <v>5.9047619047619051</v>
      </c>
    </row>
    <row r="635" spans="1:15" x14ac:dyDescent="0.3">
      <c r="A635">
        <v>634</v>
      </c>
      <c r="B635">
        <v>29</v>
      </c>
      <c r="C635" t="s">
        <v>14</v>
      </c>
      <c r="D635" t="s">
        <v>17</v>
      </c>
      <c r="E635" t="s">
        <v>13</v>
      </c>
      <c r="F635">
        <v>138</v>
      </c>
      <c r="G635">
        <v>3.2</v>
      </c>
      <c r="H635">
        <v>1142</v>
      </c>
      <c r="I635">
        <v>31</v>
      </c>
      <c r="J635">
        <v>366</v>
      </c>
      <c r="K635">
        <v>2</v>
      </c>
      <c r="L635" t="s">
        <v>36</v>
      </c>
      <c r="M635" s="2">
        <f t="shared" si="9"/>
        <v>356.875</v>
      </c>
      <c r="N63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35" s="1">
        <f>F:F/I:I</f>
        <v>4.4516129032258061</v>
      </c>
    </row>
    <row r="636" spans="1:15" x14ac:dyDescent="0.3">
      <c r="A636">
        <v>635</v>
      </c>
      <c r="B636">
        <v>43</v>
      </c>
      <c r="C636" t="s">
        <v>11</v>
      </c>
      <c r="D636" t="s">
        <v>18</v>
      </c>
      <c r="E636" t="s">
        <v>19</v>
      </c>
      <c r="F636">
        <v>318</v>
      </c>
      <c r="G636">
        <v>6.6</v>
      </c>
      <c r="H636">
        <v>2055</v>
      </c>
      <c r="I636">
        <v>67</v>
      </c>
      <c r="J636">
        <v>1253</v>
      </c>
      <c r="K636">
        <v>4</v>
      </c>
      <c r="L636" t="s">
        <v>34</v>
      </c>
      <c r="M636" s="2">
        <f t="shared" si="9"/>
        <v>311.36363636363637</v>
      </c>
      <c r="N63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36" s="1">
        <f>F:F/I:I</f>
        <v>4.7462686567164178</v>
      </c>
    </row>
    <row r="637" spans="1:15" x14ac:dyDescent="0.3">
      <c r="A637">
        <v>636</v>
      </c>
      <c r="B637">
        <v>48</v>
      </c>
      <c r="C637" t="s">
        <v>14</v>
      </c>
      <c r="D637" t="s">
        <v>16</v>
      </c>
      <c r="E637" t="s">
        <v>13</v>
      </c>
      <c r="F637">
        <v>96</v>
      </c>
      <c r="G637">
        <v>3.4</v>
      </c>
      <c r="H637">
        <v>1198</v>
      </c>
      <c r="I637">
        <v>39</v>
      </c>
      <c r="J637">
        <v>401</v>
      </c>
      <c r="K637">
        <v>2</v>
      </c>
      <c r="L637" t="s">
        <v>41</v>
      </c>
      <c r="M637" s="2">
        <f t="shared" si="9"/>
        <v>352.35294117647061</v>
      </c>
      <c r="N63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37" s="1">
        <f>F:F/I:I</f>
        <v>2.4615384615384617</v>
      </c>
    </row>
    <row r="638" spans="1:15" x14ac:dyDescent="0.3">
      <c r="A638">
        <v>637</v>
      </c>
      <c r="B638">
        <v>47</v>
      </c>
      <c r="C638" t="s">
        <v>11</v>
      </c>
      <c r="D638" t="s">
        <v>17</v>
      </c>
      <c r="E638" t="s">
        <v>13</v>
      </c>
      <c r="F638">
        <v>510</v>
      </c>
      <c r="G638">
        <v>10.7</v>
      </c>
      <c r="H638">
        <v>2433</v>
      </c>
      <c r="I638">
        <v>90</v>
      </c>
      <c r="J638">
        <v>1729</v>
      </c>
      <c r="K638">
        <v>5</v>
      </c>
      <c r="L638" t="s">
        <v>41</v>
      </c>
      <c r="M638" s="2">
        <f t="shared" si="9"/>
        <v>227.38317757009347</v>
      </c>
      <c r="N63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38" s="1">
        <f>F:F/I:I</f>
        <v>5.666666666666667</v>
      </c>
    </row>
    <row r="639" spans="1:15" x14ac:dyDescent="0.3">
      <c r="A639">
        <v>638</v>
      </c>
      <c r="B639">
        <v>32</v>
      </c>
      <c r="C639" t="s">
        <v>14</v>
      </c>
      <c r="D639" t="s">
        <v>12</v>
      </c>
      <c r="E639" t="s">
        <v>13</v>
      </c>
      <c r="F639">
        <v>83</v>
      </c>
      <c r="G639">
        <v>1.1000000000000001</v>
      </c>
      <c r="H639">
        <v>546</v>
      </c>
      <c r="I639">
        <v>10</v>
      </c>
      <c r="J639">
        <v>289</v>
      </c>
      <c r="K639">
        <v>1</v>
      </c>
      <c r="L639" t="s">
        <v>40</v>
      </c>
      <c r="M639" s="2">
        <f t="shared" si="9"/>
        <v>496.36363636363632</v>
      </c>
      <c r="N63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39" s="1">
        <f>F:F/I:I</f>
        <v>8.3000000000000007</v>
      </c>
    </row>
    <row r="640" spans="1:15" x14ac:dyDescent="0.3">
      <c r="A640">
        <v>639</v>
      </c>
      <c r="B640">
        <v>35</v>
      </c>
      <c r="C640" t="s">
        <v>14</v>
      </c>
      <c r="D640" t="s">
        <v>15</v>
      </c>
      <c r="E640" t="s">
        <v>13</v>
      </c>
      <c r="F640">
        <v>417</v>
      </c>
      <c r="G640">
        <v>6.2</v>
      </c>
      <c r="H640">
        <v>2074</v>
      </c>
      <c r="I640">
        <v>63</v>
      </c>
      <c r="J640">
        <v>1135</v>
      </c>
      <c r="K640">
        <v>4</v>
      </c>
      <c r="L640" t="s">
        <v>35</v>
      </c>
      <c r="M640" s="2">
        <f t="shared" si="9"/>
        <v>334.51612903225805</v>
      </c>
      <c r="N64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40" s="1">
        <f>F:F/I:I</f>
        <v>6.6190476190476186</v>
      </c>
    </row>
    <row r="641" spans="1:15" x14ac:dyDescent="0.3">
      <c r="A641">
        <v>640</v>
      </c>
      <c r="B641">
        <v>35</v>
      </c>
      <c r="C641" t="s">
        <v>14</v>
      </c>
      <c r="D641" t="s">
        <v>15</v>
      </c>
      <c r="E641" t="s">
        <v>13</v>
      </c>
      <c r="F641">
        <v>538</v>
      </c>
      <c r="G641">
        <v>9.8000000000000007</v>
      </c>
      <c r="H641">
        <v>2778</v>
      </c>
      <c r="I641">
        <v>91</v>
      </c>
      <c r="J641">
        <v>2080</v>
      </c>
      <c r="K641">
        <v>5</v>
      </c>
      <c r="L641" t="s">
        <v>35</v>
      </c>
      <c r="M641" s="2">
        <f t="shared" si="9"/>
        <v>283.46938775510205</v>
      </c>
      <c r="N64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41" s="1">
        <f>F:F/I:I</f>
        <v>5.9120879120879124</v>
      </c>
    </row>
    <row r="642" spans="1:15" x14ac:dyDescent="0.3">
      <c r="A642">
        <v>641</v>
      </c>
      <c r="B642">
        <v>42</v>
      </c>
      <c r="C642" t="s">
        <v>11</v>
      </c>
      <c r="D642" t="s">
        <v>16</v>
      </c>
      <c r="E642" t="s">
        <v>13</v>
      </c>
      <c r="F642">
        <v>63</v>
      </c>
      <c r="G642">
        <v>1.8</v>
      </c>
      <c r="H642">
        <v>321</v>
      </c>
      <c r="I642">
        <v>11</v>
      </c>
      <c r="J642">
        <v>271</v>
      </c>
      <c r="K642">
        <v>1</v>
      </c>
      <c r="L642" t="s">
        <v>34</v>
      </c>
      <c r="M642" s="2">
        <f t="shared" ref="M642:M701" si="10">H:H/G:G</f>
        <v>178.33333333333334</v>
      </c>
      <c r="N64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42" s="1">
        <f>F:F/I:I</f>
        <v>5.7272727272727275</v>
      </c>
    </row>
    <row r="643" spans="1:15" x14ac:dyDescent="0.3">
      <c r="A643">
        <v>642</v>
      </c>
      <c r="B643">
        <v>26</v>
      </c>
      <c r="C643" t="s">
        <v>14</v>
      </c>
      <c r="D643" t="s">
        <v>17</v>
      </c>
      <c r="E643" t="s">
        <v>13</v>
      </c>
      <c r="F643">
        <v>50</v>
      </c>
      <c r="G643">
        <v>1.4</v>
      </c>
      <c r="H643">
        <v>443</v>
      </c>
      <c r="I643">
        <v>16</v>
      </c>
      <c r="J643">
        <v>255</v>
      </c>
      <c r="K643">
        <v>1</v>
      </c>
      <c r="L643" t="s">
        <v>36</v>
      </c>
      <c r="M643" s="2">
        <f t="shared" si="10"/>
        <v>316.42857142857144</v>
      </c>
      <c r="N64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43" s="1">
        <f>F:F/I:I</f>
        <v>3.125</v>
      </c>
    </row>
    <row r="644" spans="1:15" x14ac:dyDescent="0.3">
      <c r="A644">
        <v>643</v>
      </c>
      <c r="B644">
        <v>27</v>
      </c>
      <c r="C644" t="s">
        <v>11</v>
      </c>
      <c r="D644" t="s">
        <v>15</v>
      </c>
      <c r="E644" t="s">
        <v>13</v>
      </c>
      <c r="F644">
        <v>502</v>
      </c>
      <c r="G644">
        <v>8.1999999999999993</v>
      </c>
      <c r="H644">
        <v>2597</v>
      </c>
      <c r="I644">
        <v>90</v>
      </c>
      <c r="J644">
        <v>1553</v>
      </c>
      <c r="K644">
        <v>5</v>
      </c>
      <c r="L644" t="s">
        <v>36</v>
      </c>
      <c r="M644" s="2">
        <f t="shared" si="10"/>
        <v>316.70731707317077</v>
      </c>
      <c r="N64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44" s="1">
        <f>F:F/I:I</f>
        <v>5.5777777777777775</v>
      </c>
    </row>
    <row r="645" spans="1:15" x14ac:dyDescent="0.3">
      <c r="A645">
        <v>644</v>
      </c>
      <c r="B645">
        <v>46</v>
      </c>
      <c r="C645" t="s">
        <v>11</v>
      </c>
      <c r="D645" t="s">
        <v>17</v>
      </c>
      <c r="E645" t="s">
        <v>13</v>
      </c>
      <c r="F645">
        <v>105</v>
      </c>
      <c r="G645">
        <v>3.3</v>
      </c>
      <c r="H645">
        <v>723</v>
      </c>
      <c r="I645">
        <v>35</v>
      </c>
      <c r="J645">
        <v>566</v>
      </c>
      <c r="K645">
        <v>2</v>
      </c>
      <c r="L645" t="s">
        <v>41</v>
      </c>
      <c r="M645" s="2">
        <f t="shared" si="10"/>
        <v>219.09090909090909</v>
      </c>
      <c r="N64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45" s="1">
        <f>F:F/I:I</f>
        <v>3</v>
      </c>
    </row>
    <row r="646" spans="1:15" x14ac:dyDescent="0.3">
      <c r="A646">
        <v>645</v>
      </c>
      <c r="B646">
        <v>20</v>
      </c>
      <c r="C646" t="s">
        <v>14</v>
      </c>
      <c r="D646" t="s">
        <v>15</v>
      </c>
      <c r="E646" t="s">
        <v>13</v>
      </c>
      <c r="F646">
        <v>186</v>
      </c>
      <c r="G646">
        <v>4.8</v>
      </c>
      <c r="H646">
        <v>1494</v>
      </c>
      <c r="I646">
        <v>53</v>
      </c>
      <c r="J646">
        <v>949</v>
      </c>
      <c r="K646">
        <v>3</v>
      </c>
      <c r="L646" t="s">
        <v>39</v>
      </c>
      <c r="M646" s="2">
        <f t="shared" si="10"/>
        <v>311.25</v>
      </c>
      <c r="N64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46" s="1">
        <f>F:F/I:I</f>
        <v>3.5094339622641511</v>
      </c>
    </row>
    <row r="647" spans="1:15" x14ac:dyDescent="0.3">
      <c r="A647">
        <v>646</v>
      </c>
      <c r="B647">
        <v>20</v>
      </c>
      <c r="C647" t="s">
        <v>14</v>
      </c>
      <c r="D647" t="s">
        <v>12</v>
      </c>
      <c r="E647" t="s">
        <v>13</v>
      </c>
      <c r="F647">
        <v>174</v>
      </c>
      <c r="G647">
        <v>2.9</v>
      </c>
      <c r="H647">
        <v>1197</v>
      </c>
      <c r="I647">
        <v>23</v>
      </c>
      <c r="J647">
        <v>345</v>
      </c>
      <c r="K647">
        <v>2</v>
      </c>
      <c r="L647" t="s">
        <v>39</v>
      </c>
      <c r="M647" s="2">
        <f t="shared" si="10"/>
        <v>412.75862068965517</v>
      </c>
      <c r="N64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47" s="1">
        <f>F:F/I:I</f>
        <v>7.5652173913043477</v>
      </c>
    </row>
    <row r="648" spans="1:15" x14ac:dyDescent="0.3">
      <c r="A648">
        <v>647</v>
      </c>
      <c r="B648">
        <v>58</v>
      </c>
      <c r="C648" t="s">
        <v>14</v>
      </c>
      <c r="D648" t="s">
        <v>16</v>
      </c>
      <c r="E648" t="s">
        <v>13</v>
      </c>
      <c r="F648">
        <v>89</v>
      </c>
      <c r="G648">
        <v>1.3</v>
      </c>
      <c r="H648">
        <v>314</v>
      </c>
      <c r="I648">
        <v>16</v>
      </c>
      <c r="J648">
        <v>201</v>
      </c>
      <c r="K648">
        <v>1</v>
      </c>
      <c r="L648" t="s">
        <v>37</v>
      </c>
      <c r="M648" s="2">
        <f t="shared" si="10"/>
        <v>241.53846153846152</v>
      </c>
      <c r="N64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48" s="1">
        <f>F:F/I:I</f>
        <v>5.5625</v>
      </c>
    </row>
    <row r="649" spans="1:15" x14ac:dyDescent="0.3">
      <c r="A649">
        <v>648</v>
      </c>
      <c r="B649">
        <v>42</v>
      </c>
      <c r="C649" t="s">
        <v>14</v>
      </c>
      <c r="D649" t="s">
        <v>18</v>
      </c>
      <c r="E649" t="s">
        <v>19</v>
      </c>
      <c r="F649">
        <v>66</v>
      </c>
      <c r="G649">
        <v>1.5</v>
      </c>
      <c r="H649">
        <v>565</v>
      </c>
      <c r="I649">
        <v>17</v>
      </c>
      <c r="J649">
        <v>283</v>
      </c>
      <c r="K649">
        <v>1</v>
      </c>
      <c r="L649" t="s">
        <v>34</v>
      </c>
      <c r="M649" s="2">
        <f t="shared" si="10"/>
        <v>376.66666666666669</v>
      </c>
      <c r="N64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49" s="1">
        <f>F:F/I:I</f>
        <v>3.8823529411764706</v>
      </c>
    </row>
    <row r="650" spans="1:15" x14ac:dyDescent="0.3">
      <c r="A650">
        <v>649</v>
      </c>
      <c r="B650">
        <v>53</v>
      </c>
      <c r="C650" t="s">
        <v>11</v>
      </c>
      <c r="D650" t="s">
        <v>18</v>
      </c>
      <c r="E650" t="s">
        <v>19</v>
      </c>
      <c r="F650">
        <v>389</v>
      </c>
      <c r="G650">
        <v>6.3</v>
      </c>
      <c r="H650">
        <v>2294</v>
      </c>
      <c r="I650">
        <v>76</v>
      </c>
      <c r="J650">
        <v>1334</v>
      </c>
      <c r="K650">
        <v>4</v>
      </c>
      <c r="L650" t="s">
        <v>38</v>
      </c>
      <c r="M650" s="2">
        <f t="shared" si="10"/>
        <v>364.12698412698415</v>
      </c>
      <c r="N65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50" s="1">
        <f>F:F/I:I</f>
        <v>5.1184210526315788</v>
      </c>
    </row>
    <row r="651" spans="1:15" x14ac:dyDescent="0.3">
      <c r="A651">
        <v>650</v>
      </c>
      <c r="B651">
        <v>31</v>
      </c>
      <c r="C651" t="s">
        <v>14</v>
      </c>
      <c r="D651" t="s">
        <v>12</v>
      </c>
      <c r="E651" t="s">
        <v>13</v>
      </c>
      <c r="F651">
        <v>186</v>
      </c>
      <c r="G651">
        <v>5.4</v>
      </c>
      <c r="H651">
        <v>1627</v>
      </c>
      <c r="I651">
        <v>58</v>
      </c>
      <c r="J651">
        <v>790</v>
      </c>
      <c r="K651">
        <v>3</v>
      </c>
      <c r="L651" t="s">
        <v>40</v>
      </c>
      <c r="M651" s="2">
        <f t="shared" si="10"/>
        <v>301.2962962962963</v>
      </c>
      <c r="N65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51" s="1">
        <f>F:F/I:I</f>
        <v>3.2068965517241379</v>
      </c>
    </row>
    <row r="652" spans="1:15" x14ac:dyDescent="0.3">
      <c r="A652">
        <v>651</v>
      </c>
      <c r="B652">
        <v>49</v>
      </c>
      <c r="C652" t="s">
        <v>11</v>
      </c>
      <c r="D652" t="s">
        <v>15</v>
      </c>
      <c r="E652" t="s">
        <v>13</v>
      </c>
      <c r="F652">
        <v>149</v>
      </c>
      <c r="G652">
        <v>2</v>
      </c>
      <c r="H652">
        <v>1041</v>
      </c>
      <c r="I652">
        <v>39</v>
      </c>
      <c r="J652">
        <v>356</v>
      </c>
      <c r="K652">
        <v>2</v>
      </c>
      <c r="L652" t="s">
        <v>41</v>
      </c>
      <c r="M652" s="2">
        <f t="shared" si="10"/>
        <v>520.5</v>
      </c>
      <c r="N65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52" s="1">
        <f>F:F/I:I</f>
        <v>3.8205128205128207</v>
      </c>
    </row>
    <row r="653" spans="1:15" x14ac:dyDescent="0.3">
      <c r="A653">
        <v>652</v>
      </c>
      <c r="B653">
        <v>51</v>
      </c>
      <c r="C653" t="s">
        <v>14</v>
      </c>
      <c r="D653" t="s">
        <v>18</v>
      </c>
      <c r="E653" t="s">
        <v>19</v>
      </c>
      <c r="F653">
        <v>69</v>
      </c>
      <c r="G653">
        <v>1.7</v>
      </c>
      <c r="H653">
        <v>519</v>
      </c>
      <c r="I653">
        <v>10</v>
      </c>
      <c r="J653">
        <v>167</v>
      </c>
      <c r="K653">
        <v>1</v>
      </c>
      <c r="L653" t="s">
        <v>38</v>
      </c>
      <c r="M653" s="2">
        <f t="shared" si="10"/>
        <v>305.29411764705884</v>
      </c>
      <c r="N65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53" s="1">
        <f>F:F/I:I</f>
        <v>6.9</v>
      </c>
    </row>
    <row r="654" spans="1:15" x14ac:dyDescent="0.3">
      <c r="A654">
        <v>653</v>
      </c>
      <c r="B654">
        <v>30</v>
      </c>
      <c r="C654" t="s">
        <v>11</v>
      </c>
      <c r="D654" t="s">
        <v>12</v>
      </c>
      <c r="E654" t="s">
        <v>13</v>
      </c>
      <c r="F654">
        <v>206</v>
      </c>
      <c r="G654">
        <v>5.2</v>
      </c>
      <c r="H654">
        <v>1632</v>
      </c>
      <c r="I654">
        <v>47</v>
      </c>
      <c r="J654">
        <v>694</v>
      </c>
      <c r="K654">
        <v>3</v>
      </c>
      <c r="L654" t="s">
        <v>40</v>
      </c>
      <c r="M654" s="2">
        <f t="shared" si="10"/>
        <v>313.84615384615381</v>
      </c>
      <c r="N65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54" s="1">
        <f>F:F/I:I</f>
        <v>4.3829787234042552</v>
      </c>
    </row>
    <row r="655" spans="1:15" x14ac:dyDescent="0.3">
      <c r="A655">
        <v>654</v>
      </c>
      <c r="B655">
        <v>29</v>
      </c>
      <c r="C655" t="s">
        <v>11</v>
      </c>
      <c r="D655" t="s">
        <v>16</v>
      </c>
      <c r="E655" t="s">
        <v>13</v>
      </c>
      <c r="F655">
        <v>49</v>
      </c>
      <c r="G655">
        <v>1.2</v>
      </c>
      <c r="H655">
        <v>365</v>
      </c>
      <c r="I655">
        <v>19</v>
      </c>
      <c r="J655">
        <v>144</v>
      </c>
      <c r="K655">
        <v>1</v>
      </c>
      <c r="L655" t="s">
        <v>36</v>
      </c>
      <c r="M655" s="2">
        <f t="shared" si="10"/>
        <v>304.16666666666669</v>
      </c>
      <c r="N65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55" s="1">
        <f>F:F/I:I</f>
        <v>2.5789473684210527</v>
      </c>
    </row>
    <row r="656" spans="1:15" x14ac:dyDescent="0.3">
      <c r="A656">
        <v>655</v>
      </c>
      <c r="B656">
        <v>56</v>
      </c>
      <c r="C656" t="s">
        <v>11</v>
      </c>
      <c r="D656" t="s">
        <v>15</v>
      </c>
      <c r="E656" t="s">
        <v>13</v>
      </c>
      <c r="F656">
        <v>594</v>
      </c>
      <c r="G656">
        <v>10.5</v>
      </c>
      <c r="H656">
        <v>2839</v>
      </c>
      <c r="I656">
        <v>91</v>
      </c>
      <c r="J656">
        <v>1647</v>
      </c>
      <c r="K656">
        <v>5</v>
      </c>
      <c r="L656" t="s">
        <v>37</v>
      </c>
      <c r="M656" s="2">
        <f t="shared" si="10"/>
        <v>270.38095238095241</v>
      </c>
      <c r="N65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56" s="1">
        <f>F:F/I:I</f>
        <v>6.5274725274725274</v>
      </c>
    </row>
    <row r="657" spans="1:15" x14ac:dyDescent="0.3">
      <c r="A657">
        <v>656</v>
      </c>
      <c r="B657">
        <v>39</v>
      </c>
      <c r="C657" t="s">
        <v>11</v>
      </c>
      <c r="D657" t="s">
        <v>15</v>
      </c>
      <c r="E657" t="s">
        <v>13</v>
      </c>
      <c r="F657">
        <v>104</v>
      </c>
      <c r="G657">
        <v>3.7</v>
      </c>
      <c r="H657">
        <v>1028</v>
      </c>
      <c r="I657">
        <v>29</v>
      </c>
      <c r="J657">
        <v>493</v>
      </c>
      <c r="K657">
        <v>2</v>
      </c>
      <c r="L657" t="s">
        <v>35</v>
      </c>
      <c r="M657" s="2">
        <f t="shared" si="10"/>
        <v>277.83783783783781</v>
      </c>
      <c r="N65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57" s="1">
        <f>F:F/I:I</f>
        <v>3.5862068965517242</v>
      </c>
    </row>
    <row r="658" spans="1:15" x14ac:dyDescent="0.3">
      <c r="A658">
        <v>657</v>
      </c>
      <c r="B658">
        <v>54</v>
      </c>
      <c r="C658" t="s">
        <v>14</v>
      </c>
      <c r="D658" t="s">
        <v>15</v>
      </c>
      <c r="E658" t="s">
        <v>13</v>
      </c>
      <c r="F658">
        <v>262</v>
      </c>
      <c r="G658">
        <v>5.6</v>
      </c>
      <c r="H658">
        <v>1489</v>
      </c>
      <c r="I658">
        <v>59</v>
      </c>
      <c r="J658">
        <v>628</v>
      </c>
      <c r="K658">
        <v>3</v>
      </c>
      <c r="L658" t="s">
        <v>38</v>
      </c>
      <c r="M658" s="2">
        <f t="shared" si="10"/>
        <v>265.89285714285717</v>
      </c>
      <c r="N65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58" s="1">
        <f>F:F/I:I</f>
        <v>4.4406779661016946</v>
      </c>
    </row>
    <row r="659" spans="1:15" x14ac:dyDescent="0.3">
      <c r="A659">
        <v>658</v>
      </c>
      <c r="B659">
        <v>40</v>
      </c>
      <c r="C659" t="s">
        <v>14</v>
      </c>
      <c r="D659" t="s">
        <v>12</v>
      </c>
      <c r="E659" t="s">
        <v>13</v>
      </c>
      <c r="F659">
        <v>278</v>
      </c>
      <c r="G659">
        <v>5.3</v>
      </c>
      <c r="H659">
        <v>1368</v>
      </c>
      <c r="I659">
        <v>56</v>
      </c>
      <c r="J659">
        <v>894</v>
      </c>
      <c r="K659">
        <v>3</v>
      </c>
      <c r="L659" t="s">
        <v>34</v>
      </c>
      <c r="M659" s="2">
        <f t="shared" si="10"/>
        <v>258.11320754716979</v>
      </c>
      <c r="N65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59" s="1">
        <f>F:F/I:I</f>
        <v>4.9642857142857144</v>
      </c>
    </row>
    <row r="660" spans="1:15" x14ac:dyDescent="0.3">
      <c r="A660">
        <v>659</v>
      </c>
      <c r="B660">
        <v>43</v>
      </c>
      <c r="C660" t="s">
        <v>14</v>
      </c>
      <c r="D660" t="s">
        <v>12</v>
      </c>
      <c r="E660" t="s">
        <v>13</v>
      </c>
      <c r="F660">
        <v>463</v>
      </c>
      <c r="G660">
        <v>6.8</v>
      </c>
      <c r="H660">
        <v>2358</v>
      </c>
      <c r="I660">
        <v>68</v>
      </c>
      <c r="J660">
        <v>1236</v>
      </c>
      <c r="K660">
        <v>4</v>
      </c>
      <c r="L660" t="s">
        <v>34</v>
      </c>
      <c r="M660" s="2">
        <f t="shared" si="10"/>
        <v>346.76470588235293</v>
      </c>
      <c r="N66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60" s="1">
        <f>F:F/I:I</f>
        <v>6.8088235294117645</v>
      </c>
    </row>
    <row r="661" spans="1:15" x14ac:dyDescent="0.3">
      <c r="A661">
        <v>660</v>
      </c>
      <c r="B661">
        <v>35</v>
      </c>
      <c r="C661" t="s">
        <v>11</v>
      </c>
      <c r="D661" t="s">
        <v>12</v>
      </c>
      <c r="E661" t="s">
        <v>13</v>
      </c>
      <c r="F661">
        <v>505</v>
      </c>
      <c r="G661">
        <v>9.6</v>
      </c>
      <c r="H661">
        <v>2464</v>
      </c>
      <c r="I661">
        <v>91</v>
      </c>
      <c r="J661">
        <v>2375</v>
      </c>
      <c r="K661">
        <v>5</v>
      </c>
      <c r="L661" t="s">
        <v>35</v>
      </c>
      <c r="M661" s="2">
        <f t="shared" si="10"/>
        <v>256.66666666666669</v>
      </c>
      <c r="N66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61" s="1">
        <f>F:F/I:I</f>
        <v>5.5494505494505493</v>
      </c>
    </row>
    <row r="662" spans="1:15" x14ac:dyDescent="0.3">
      <c r="A662">
        <v>661</v>
      </c>
      <c r="B662">
        <v>59</v>
      </c>
      <c r="C662" t="s">
        <v>11</v>
      </c>
      <c r="D662" t="s">
        <v>15</v>
      </c>
      <c r="E662" t="s">
        <v>13</v>
      </c>
      <c r="F662">
        <v>50</v>
      </c>
      <c r="G662">
        <v>1.5</v>
      </c>
      <c r="H662">
        <v>387</v>
      </c>
      <c r="I662">
        <v>12</v>
      </c>
      <c r="J662">
        <v>146</v>
      </c>
      <c r="K662">
        <v>1</v>
      </c>
      <c r="L662" t="s">
        <v>37</v>
      </c>
      <c r="M662" s="2">
        <f t="shared" si="10"/>
        <v>258</v>
      </c>
      <c r="N66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62" s="1">
        <f>F:F/I:I</f>
        <v>4.166666666666667</v>
      </c>
    </row>
    <row r="663" spans="1:15" x14ac:dyDescent="0.3">
      <c r="A663">
        <v>662</v>
      </c>
      <c r="B663">
        <v>48</v>
      </c>
      <c r="C663" t="s">
        <v>11</v>
      </c>
      <c r="D663" t="s">
        <v>12</v>
      </c>
      <c r="E663" t="s">
        <v>13</v>
      </c>
      <c r="F663">
        <v>138</v>
      </c>
      <c r="G663">
        <v>3.1</v>
      </c>
      <c r="H663">
        <v>947</v>
      </c>
      <c r="I663">
        <v>29</v>
      </c>
      <c r="J663">
        <v>545</v>
      </c>
      <c r="K663">
        <v>2</v>
      </c>
      <c r="L663" t="s">
        <v>41</v>
      </c>
      <c r="M663" s="2">
        <f t="shared" si="10"/>
        <v>305.48387096774195</v>
      </c>
      <c r="N66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63" s="1">
        <f>F:F/I:I</f>
        <v>4.7586206896551726</v>
      </c>
    </row>
    <row r="664" spans="1:15" x14ac:dyDescent="0.3">
      <c r="A664">
        <v>663</v>
      </c>
      <c r="B664">
        <v>45</v>
      </c>
      <c r="C664" t="s">
        <v>11</v>
      </c>
      <c r="D664" t="s">
        <v>12</v>
      </c>
      <c r="E664" t="s">
        <v>13</v>
      </c>
      <c r="F664">
        <v>130</v>
      </c>
      <c r="G664">
        <v>3.2</v>
      </c>
      <c r="H664">
        <v>1189</v>
      </c>
      <c r="I664">
        <v>37</v>
      </c>
      <c r="J664">
        <v>448</v>
      </c>
      <c r="K664">
        <v>2</v>
      </c>
      <c r="L664" t="s">
        <v>41</v>
      </c>
      <c r="M664" s="2">
        <f t="shared" si="10"/>
        <v>371.5625</v>
      </c>
      <c r="N66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64" s="1">
        <f>F:F/I:I</f>
        <v>3.5135135135135136</v>
      </c>
    </row>
    <row r="665" spans="1:15" x14ac:dyDescent="0.3">
      <c r="A665">
        <v>664</v>
      </c>
      <c r="B665">
        <v>55</v>
      </c>
      <c r="C665" t="s">
        <v>14</v>
      </c>
      <c r="D665" t="s">
        <v>15</v>
      </c>
      <c r="E665" t="s">
        <v>13</v>
      </c>
      <c r="F665">
        <v>469</v>
      </c>
      <c r="G665">
        <v>6.4</v>
      </c>
      <c r="H665">
        <v>1858</v>
      </c>
      <c r="I665">
        <v>78</v>
      </c>
      <c r="J665">
        <v>1297</v>
      </c>
      <c r="K665">
        <v>4</v>
      </c>
      <c r="L665" t="s">
        <v>37</v>
      </c>
      <c r="M665" s="2">
        <f t="shared" si="10"/>
        <v>290.3125</v>
      </c>
      <c r="N66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65" s="1">
        <f>F:F/I:I</f>
        <v>6.0128205128205128</v>
      </c>
    </row>
    <row r="666" spans="1:15" x14ac:dyDescent="0.3">
      <c r="A666">
        <v>665</v>
      </c>
      <c r="B666">
        <v>52</v>
      </c>
      <c r="C666" t="s">
        <v>11</v>
      </c>
      <c r="D666" t="s">
        <v>12</v>
      </c>
      <c r="E666" t="s">
        <v>13</v>
      </c>
      <c r="F666">
        <v>555</v>
      </c>
      <c r="G666">
        <v>10.3</v>
      </c>
      <c r="H666">
        <v>2568</v>
      </c>
      <c r="I666">
        <v>83</v>
      </c>
      <c r="J666">
        <v>2003</v>
      </c>
      <c r="K666">
        <v>5</v>
      </c>
      <c r="L666" t="s">
        <v>38</v>
      </c>
      <c r="M666" s="2">
        <f t="shared" si="10"/>
        <v>249.32038834951456</v>
      </c>
      <c r="N66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66" s="1">
        <f>F:F/I:I</f>
        <v>6.6867469879518069</v>
      </c>
    </row>
    <row r="667" spans="1:15" x14ac:dyDescent="0.3">
      <c r="A667">
        <v>666</v>
      </c>
      <c r="B667">
        <v>53</v>
      </c>
      <c r="C667" t="s">
        <v>11</v>
      </c>
      <c r="D667" t="s">
        <v>18</v>
      </c>
      <c r="E667" t="s">
        <v>19</v>
      </c>
      <c r="F667">
        <v>198</v>
      </c>
      <c r="G667">
        <v>5.4</v>
      </c>
      <c r="H667">
        <v>1544</v>
      </c>
      <c r="I667">
        <v>53</v>
      </c>
      <c r="J667">
        <v>635</v>
      </c>
      <c r="K667">
        <v>3</v>
      </c>
      <c r="L667" t="s">
        <v>38</v>
      </c>
      <c r="M667" s="2">
        <f t="shared" si="10"/>
        <v>285.92592592592592</v>
      </c>
      <c r="N66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67" s="1">
        <f>F:F/I:I</f>
        <v>3.7358490566037736</v>
      </c>
    </row>
    <row r="668" spans="1:15" x14ac:dyDescent="0.3">
      <c r="A668">
        <v>667</v>
      </c>
      <c r="B668">
        <v>46</v>
      </c>
      <c r="C668" t="s">
        <v>11</v>
      </c>
      <c r="D668" t="s">
        <v>16</v>
      </c>
      <c r="E668" t="s">
        <v>13</v>
      </c>
      <c r="F668">
        <v>529</v>
      </c>
      <c r="G668">
        <v>11.4</v>
      </c>
      <c r="H668">
        <v>2891</v>
      </c>
      <c r="I668">
        <v>82</v>
      </c>
      <c r="J668">
        <v>1845</v>
      </c>
      <c r="K668">
        <v>5</v>
      </c>
      <c r="L668" t="s">
        <v>41</v>
      </c>
      <c r="M668" s="2">
        <f t="shared" si="10"/>
        <v>253.59649122807016</v>
      </c>
      <c r="N66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68" s="1">
        <f>F:F/I:I</f>
        <v>6.4512195121951219</v>
      </c>
    </row>
    <row r="669" spans="1:15" x14ac:dyDescent="0.3">
      <c r="A669">
        <v>668</v>
      </c>
      <c r="B669">
        <v>36</v>
      </c>
      <c r="C669" t="s">
        <v>11</v>
      </c>
      <c r="D669" t="s">
        <v>16</v>
      </c>
      <c r="E669" t="s">
        <v>13</v>
      </c>
      <c r="F669">
        <v>205</v>
      </c>
      <c r="G669">
        <v>5.5</v>
      </c>
      <c r="H669">
        <v>1699</v>
      </c>
      <c r="I669">
        <v>49</v>
      </c>
      <c r="J669">
        <v>729</v>
      </c>
      <c r="K669">
        <v>3</v>
      </c>
      <c r="L669" t="s">
        <v>35</v>
      </c>
      <c r="M669" s="2">
        <f t="shared" si="10"/>
        <v>308.90909090909093</v>
      </c>
      <c r="N66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69" s="1">
        <f>F:F/I:I</f>
        <v>4.1836734693877551</v>
      </c>
    </row>
    <row r="670" spans="1:15" x14ac:dyDescent="0.3">
      <c r="A670">
        <v>669</v>
      </c>
      <c r="B670">
        <v>23</v>
      </c>
      <c r="C670" t="s">
        <v>11</v>
      </c>
      <c r="D670" t="s">
        <v>18</v>
      </c>
      <c r="E670" t="s">
        <v>19</v>
      </c>
      <c r="F670">
        <v>170</v>
      </c>
      <c r="G670">
        <v>2.4</v>
      </c>
      <c r="H670">
        <v>1039</v>
      </c>
      <c r="I670">
        <v>38</v>
      </c>
      <c r="J670">
        <v>334</v>
      </c>
      <c r="K670">
        <v>2</v>
      </c>
      <c r="L670" t="s">
        <v>39</v>
      </c>
      <c r="M670" s="2">
        <f t="shared" si="10"/>
        <v>432.91666666666669</v>
      </c>
      <c r="N67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70" s="1">
        <f>F:F/I:I</f>
        <v>4.4736842105263159</v>
      </c>
    </row>
    <row r="671" spans="1:15" x14ac:dyDescent="0.3">
      <c r="A671">
        <v>670</v>
      </c>
      <c r="B671">
        <v>27</v>
      </c>
      <c r="C671" t="s">
        <v>14</v>
      </c>
      <c r="D671" t="s">
        <v>16</v>
      </c>
      <c r="E671" t="s">
        <v>13</v>
      </c>
      <c r="F671">
        <v>160</v>
      </c>
      <c r="G671">
        <v>3.2</v>
      </c>
      <c r="H671">
        <v>648</v>
      </c>
      <c r="I671">
        <v>31</v>
      </c>
      <c r="J671">
        <v>339</v>
      </c>
      <c r="K671">
        <v>2</v>
      </c>
      <c r="L671" t="s">
        <v>36</v>
      </c>
      <c r="M671" s="2">
        <f t="shared" si="10"/>
        <v>202.5</v>
      </c>
      <c r="N67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71" s="1">
        <f>F:F/I:I</f>
        <v>5.161290322580645</v>
      </c>
    </row>
    <row r="672" spans="1:15" x14ac:dyDescent="0.3">
      <c r="A672">
        <v>671</v>
      </c>
      <c r="B672">
        <v>48</v>
      </c>
      <c r="C672" t="s">
        <v>11</v>
      </c>
      <c r="D672" t="s">
        <v>18</v>
      </c>
      <c r="E672" t="s">
        <v>19</v>
      </c>
      <c r="F672">
        <v>81</v>
      </c>
      <c r="G672">
        <v>1.6</v>
      </c>
      <c r="H672">
        <v>387</v>
      </c>
      <c r="I672">
        <v>13</v>
      </c>
      <c r="J672">
        <v>224</v>
      </c>
      <c r="K672">
        <v>1</v>
      </c>
      <c r="L672" t="s">
        <v>41</v>
      </c>
      <c r="M672" s="2">
        <f t="shared" si="10"/>
        <v>241.875</v>
      </c>
      <c r="N67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72" s="1">
        <f>F:F/I:I</f>
        <v>6.2307692307692308</v>
      </c>
    </row>
    <row r="673" spans="1:15" x14ac:dyDescent="0.3">
      <c r="A673">
        <v>672</v>
      </c>
      <c r="B673">
        <v>22</v>
      </c>
      <c r="C673" t="s">
        <v>11</v>
      </c>
      <c r="D673" t="s">
        <v>15</v>
      </c>
      <c r="E673" t="s">
        <v>13</v>
      </c>
      <c r="F673">
        <v>468</v>
      </c>
      <c r="G673">
        <v>7.3</v>
      </c>
      <c r="H673">
        <v>1937</v>
      </c>
      <c r="I673">
        <v>64</v>
      </c>
      <c r="J673">
        <v>1209</v>
      </c>
      <c r="K673">
        <v>4</v>
      </c>
      <c r="L673" t="s">
        <v>39</v>
      </c>
      <c r="M673" s="2">
        <f t="shared" si="10"/>
        <v>265.34246575342468</v>
      </c>
      <c r="N67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73" s="1">
        <f>F:F/I:I</f>
        <v>7.3125</v>
      </c>
    </row>
    <row r="674" spans="1:15" x14ac:dyDescent="0.3">
      <c r="A674">
        <v>673</v>
      </c>
      <c r="B674">
        <v>27</v>
      </c>
      <c r="C674" t="s">
        <v>11</v>
      </c>
      <c r="D674" t="s">
        <v>12</v>
      </c>
      <c r="E674" t="s">
        <v>13</v>
      </c>
      <c r="F674">
        <v>500</v>
      </c>
      <c r="G674">
        <v>11.2</v>
      </c>
      <c r="H674">
        <v>2925</v>
      </c>
      <c r="I674">
        <v>84</v>
      </c>
      <c r="J674">
        <v>2438</v>
      </c>
      <c r="K674">
        <v>5</v>
      </c>
      <c r="L674" t="s">
        <v>36</v>
      </c>
      <c r="M674" s="2">
        <f t="shared" si="10"/>
        <v>261.16071428571428</v>
      </c>
      <c r="N67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74" s="1">
        <f>F:F/I:I</f>
        <v>5.9523809523809526</v>
      </c>
    </row>
    <row r="675" spans="1:15" x14ac:dyDescent="0.3">
      <c r="A675">
        <v>674</v>
      </c>
      <c r="B675">
        <v>52</v>
      </c>
      <c r="C675" t="s">
        <v>11</v>
      </c>
      <c r="D675" t="s">
        <v>15</v>
      </c>
      <c r="E675" t="s">
        <v>13</v>
      </c>
      <c r="F675">
        <v>37</v>
      </c>
      <c r="G675">
        <v>1.6</v>
      </c>
      <c r="H675">
        <v>490</v>
      </c>
      <c r="I675">
        <v>18</v>
      </c>
      <c r="J675">
        <v>216</v>
      </c>
      <c r="K675">
        <v>1</v>
      </c>
      <c r="L675" t="s">
        <v>38</v>
      </c>
      <c r="M675" s="2">
        <f t="shared" si="10"/>
        <v>306.25</v>
      </c>
      <c r="N67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75" s="1">
        <f>F:F/I:I</f>
        <v>2.0555555555555554</v>
      </c>
    </row>
    <row r="676" spans="1:15" x14ac:dyDescent="0.3">
      <c r="A676">
        <v>675</v>
      </c>
      <c r="B676">
        <v>27</v>
      </c>
      <c r="C676" t="s">
        <v>14</v>
      </c>
      <c r="D676" t="s">
        <v>12</v>
      </c>
      <c r="E676" t="s">
        <v>13</v>
      </c>
      <c r="F676">
        <v>522</v>
      </c>
      <c r="G676">
        <v>11.4</v>
      </c>
      <c r="H676">
        <v>2776</v>
      </c>
      <c r="I676">
        <v>93</v>
      </c>
      <c r="J676">
        <v>1768</v>
      </c>
      <c r="K676">
        <v>5</v>
      </c>
      <c r="L676" t="s">
        <v>36</v>
      </c>
      <c r="M676" s="2">
        <f t="shared" si="10"/>
        <v>243.50877192982455</v>
      </c>
      <c r="N67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76" s="1">
        <f>F:F/I:I</f>
        <v>5.612903225806452</v>
      </c>
    </row>
    <row r="677" spans="1:15" x14ac:dyDescent="0.3">
      <c r="A677">
        <v>676</v>
      </c>
      <c r="B677">
        <v>40</v>
      </c>
      <c r="C677" t="s">
        <v>11</v>
      </c>
      <c r="D677" t="s">
        <v>12</v>
      </c>
      <c r="E677" t="s">
        <v>13</v>
      </c>
      <c r="F677">
        <v>81</v>
      </c>
      <c r="G677">
        <v>1.5</v>
      </c>
      <c r="H677">
        <v>545</v>
      </c>
      <c r="I677">
        <v>17</v>
      </c>
      <c r="J677">
        <v>159</v>
      </c>
      <c r="K677">
        <v>1</v>
      </c>
      <c r="L677" t="s">
        <v>34</v>
      </c>
      <c r="M677" s="2">
        <f t="shared" si="10"/>
        <v>363.33333333333331</v>
      </c>
      <c r="N67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77" s="1">
        <f>F:F/I:I</f>
        <v>4.7647058823529411</v>
      </c>
    </row>
    <row r="678" spans="1:15" x14ac:dyDescent="0.3">
      <c r="A678">
        <v>677</v>
      </c>
      <c r="B678">
        <v>34</v>
      </c>
      <c r="C678" t="s">
        <v>11</v>
      </c>
      <c r="D678" t="s">
        <v>17</v>
      </c>
      <c r="E678" t="s">
        <v>13</v>
      </c>
      <c r="F678">
        <v>141</v>
      </c>
      <c r="G678">
        <v>3.8</v>
      </c>
      <c r="H678">
        <v>689</v>
      </c>
      <c r="I678">
        <v>38</v>
      </c>
      <c r="J678">
        <v>576</v>
      </c>
      <c r="K678">
        <v>2</v>
      </c>
      <c r="L678" t="s">
        <v>40</v>
      </c>
      <c r="M678" s="2">
        <f t="shared" si="10"/>
        <v>181.31578947368422</v>
      </c>
      <c r="N67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78" s="1">
        <f>F:F/I:I</f>
        <v>3.7105263157894739</v>
      </c>
    </row>
    <row r="679" spans="1:15" x14ac:dyDescent="0.3">
      <c r="A679">
        <v>678</v>
      </c>
      <c r="B679">
        <v>52</v>
      </c>
      <c r="C679" t="s">
        <v>14</v>
      </c>
      <c r="D679" t="s">
        <v>16</v>
      </c>
      <c r="E679" t="s">
        <v>13</v>
      </c>
      <c r="F679">
        <v>115</v>
      </c>
      <c r="G679">
        <v>3.5</v>
      </c>
      <c r="H679">
        <v>706</v>
      </c>
      <c r="I679">
        <v>26</v>
      </c>
      <c r="J679">
        <v>495</v>
      </c>
      <c r="K679">
        <v>2</v>
      </c>
      <c r="L679" t="s">
        <v>38</v>
      </c>
      <c r="M679" s="2">
        <f t="shared" si="10"/>
        <v>201.71428571428572</v>
      </c>
      <c r="N67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79" s="1">
        <f>F:F/I:I</f>
        <v>4.4230769230769234</v>
      </c>
    </row>
    <row r="680" spans="1:15" x14ac:dyDescent="0.3">
      <c r="A680">
        <v>679</v>
      </c>
      <c r="B680">
        <v>36</v>
      </c>
      <c r="C680" t="s">
        <v>14</v>
      </c>
      <c r="D680" t="s">
        <v>15</v>
      </c>
      <c r="E680" t="s">
        <v>13</v>
      </c>
      <c r="F680">
        <v>298</v>
      </c>
      <c r="G680">
        <v>4.5999999999999996</v>
      </c>
      <c r="H680">
        <v>1525</v>
      </c>
      <c r="I680">
        <v>59</v>
      </c>
      <c r="J680">
        <v>814</v>
      </c>
      <c r="K680">
        <v>3</v>
      </c>
      <c r="L680" t="s">
        <v>35</v>
      </c>
      <c r="M680" s="2">
        <f t="shared" si="10"/>
        <v>331.52173913043481</v>
      </c>
      <c r="N68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80" s="1">
        <f>F:F/I:I</f>
        <v>5.0508474576271185</v>
      </c>
    </row>
    <row r="681" spans="1:15" x14ac:dyDescent="0.3">
      <c r="A681">
        <v>680</v>
      </c>
      <c r="B681">
        <v>36</v>
      </c>
      <c r="C681" t="s">
        <v>14</v>
      </c>
      <c r="D681" t="s">
        <v>18</v>
      </c>
      <c r="E681" t="s">
        <v>19</v>
      </c>
      <c r="F681">
        <v>33</v>
      </c>
      <c r="G681">
        <v>1.8</v>
      </c>
      <c r="H681">
        <v>334</v>
      </c>
      <c r="I681">
        <v>16</v>
      </c>
      <c r="J681">
        <v>113</v>
      </c>
      <c r="K681">
        <v>1</v>
      </c>
      <c r="L681" t="s">
        <v>35</v>
      </c>
      <c r="M681" s="2">
        <f t="shared" si="10"/>
        <v>185.55555555555554</v>
      </c>
      <c r="N68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35-40</v>
      </c>
      <c r="O681" s="1">
        <f>F:F/I:I</f>
        <v>2.0625</v>
      </c>
    </row>
    <row r="682" spans="1:15" x14ac:dyDescent="0.3">
      <c r="A682">
        <v>681</v>
      </c>
      <c r="B682">
        <v>25</v>
      </c>
      <c r="C682" t="s">
        <v>14</v>
      </c>
      <c r="D682" t="s">
        <v>15</v>
      </c>
      <c r="E682" t="s">
        <v>13</v>
      </c>
      <c r="F682">
        <v>307</v>
      </c>
      <c r="G682">
        <v>6.1</v>
      </c>
      <c r="H682">
        <v>2105</v>
      </c>
      <c r="I682">
        <v>76</v>
      </c>
      <c r="J682">
        <v>1111</v>
      </c>
      <c r="K682">
        <v>4</v>
      </c>
      <c r="L682" t="s">
        <v>36</v>
      </c>
      <c r="M682" s="2">
        <f t="shared" si="10"/>
        <v>345.08196721311475</v>
      </c>
      <c r="N68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82" s="1">
        <f>F:F/I:I</f>
        <v>4.0394736842105265</v>
      </c>
    </row>
    <row r="683" spans="1:15" x14ac:dyDescent="0.3">
      <c r="A683">
        <v>682</v>
      </c>
      <c r="B683">
        <v>30</v>
      </c>
      <c r="C683" t="s">
        <v>11</v>
      </c>
      <c r="D683" t="s">
        <v>12</v>
      </c>
      <c r="E683" t="s">
        <v>13</v>
      </c>
      <c r="F683">
        <v>380</v>
      </c>
      <c r="G683">
        <v>7.6</v>
      </c>
      <c r="H683">
        <v>2354</v>
      </c>
      <c r="I683">
        <v>77</v>
      </c>
      <c r="J683">
        <v>1191</v>
      </c>
      <c r="K683">
        <v>4</v>
      </c>
      <c r="L683" t="s">
        <v>40</v>
      </c>
      <c r="M683" s="2">
        <f t="shared" si="10"/>
        <v>309.73684210526318</v>
      </c>
      <c r="N68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83" s="1">
        <f>F:F/I:I</f>
        <v>4.9350649350649354</v>
      </c>
    </row>
    <row r="684" spans="1:15" x14ac:dyDescent="0.3">
      <c r="A684">
        <v>683</v>
      </c>
      <c r="B684">
        <v>42</v>
      </c>
      <c r="C684" t="s">
        <v>11</v>
      </c>
      <c r="D684" t="s">
        <v>12</v>
      </c>
      <c r="E684" t="s">
        <v>13</v>
      </c>
      <c r="F684">
        <v>190</v>
      </c>
      <c r="G684">
        <v>5.5</v>
      </c>
      <c r="H684">
        <v>1718</v>
      </c>
      <c r="I684">
        <v>58</v>
      </c>
      <c r="J684">
        <v>815</v>
      </c>
      <c r="K684">
        <v>3</v>
      </c>
      <c r="L684" t="s">
        <v>34</v>
      </c>
      <c r="M684" s="2">
        <f t="shared" si="10"/>
        <v>312.36363636363637</v>
      </c>
      <c r="N68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684" s="1">
        <f>F:F/I:I</f>
        <v>3.2758620689655173</v>
      </c>
    </row>
    <row r="685" spans="1:15" x14ac:dyDescent="0.3">
      <c r="A685">
        <v>684</v>
      </c>
      <c r="B685">
        <v>45</v>
      </c>
      <c r="C685" t="s">
        <v>11</v>
      </c>
      <c r="D685" t="s">
        <v>16</v>
      </c>
      <c r="E685" t="s">
        <v>13</v>
      </c>
      <c r="F685">
        <v>75</v>
      </c>
      <c r="G685">
        <v>1.6</v>
      </c>
      <c r="H685">
        <v>325</v>
      </c>
      <c r="I685">
        <v>12</v>
      </c>
      <c r="J685">
        <v>225</v>
      </c>
      <c r="K685">
        <v>1</v>
      </c>
      <c r="L685" t="s">
        <v>41</v>
      </c>
      <c r="M685" s="2">
        <f t="shared" si="10"/>
        <v>203.125</v>
      </c>
      <c r="N68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85" s="1">
        <f>F:F/I:I</f>
        <v>6.25</v>
      </c>
    </row>
    <row r="686" spans="1:15" x14ac:dyDescent="0.3">
      <c r="A686">
        <v>685</v>
      </c>
      <c r="B686">
        <v>25</v>
      </c>
      <c r="C686" t="s">
        <v>11</v>
      </c>
      <c r="D686" t="s">
        <v>15</v>
      </c>
      <c r="E686" t="s">
        <v>13</v>
      </c>
      <c r="F686">
        <v>218</v>
      </c>
      <c r="G686">
        <v>4</v>
      </c>
      <c r="H686">
        <v>1221</v>
      </c>
      <c r="I686">
        <v>47</v>
      </c>
      <c r="J686">
        <v>822</v>
      </c>
      <c r="K686">
        <v>3</v>
      </c>
      <c r="L686" t="s">
        <v>36</v>
      </c>
      <c r="M686" s="2">
        <f t="shared" si="10"/>
        <v>305.25</v>
      </c>
      <c r="N68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25-30</v>
      </c>
      <c r="O686" s="1">
        <f>F:F/I:I</f>
        <v>4.6382978723404253</v>
      </c>
    </row>
    <row r="687" spans="1:15" x14ac:dyDescent="0.3">
      <c r="A687">
        <v>686</v>
      </c>
      <c r="B687">
        <v>18</v>
      </c>
      <c r="C687" t="s">
        <v>11</v>
      </c>
      <c r="D687" t="s">
        <v>12</v>
      </c>
      <c r="E687" t="s">
        <v>13</v>
      </c>
      <c r="F687">
        <v>412</v>
      </c>
      <c r="G687">
        <v>6.6</v>
      </c>
      <c r="H687">
        <v>1859</v>
      </c>
      <c r="I687">
        <v>67</v>
      </c>
      <c r="J687">
        <v>1393</v>
      </c>
      <c r="K687">
        <v>4</v>
      </c>
      <c r="L687" t="s">
        <v>42</v>
      </c>
      <c r="M687" s="2">
        <f t="shared" si="10"/>
        <v>281.66666666666669</v>
      </c>
      <c r="N68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687" s="1">
        <f>F:F/I:I</f>
        <v>6.1492537313432836</v>
      </c>
    </row>
    <row r="688" spans="1:15" x14ac:dyDescent="0.3">
      <c r="A688">
        <v>687</v>
      </c>
      <c r="B688">
        <v>18</v>
      </c>
      <c r="C688" t="s">
        <v>11</v>
      </c>
      <c r="D688" t="s">
        <v>15</v>
      </c>
      <c r="E688" t="s">
        <v>13</v>
      </c>
      <c r="F688">
        <v>335</v>
      </c>
      <c r="G688">
        <v>7.7</v>
      </c>
      <c r="H688">
        <v>2037</v>
      </c>
      <c r="I688">
        <v>68</v>
      </c>
      <c r="J688">
        <v>1007</v>
      </c>
      <c r="K688">
        <v>4</v>
      </c>
      <c r="L688" t="s">
        <v>42</v>
      </c>
      <c r="M688" s="2">
        <f t="shared" si="10"/>
        <v>264.54545454545456</v>
      </c>
      <c r="N68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18-20</v>
      </c>
      <c r="O688" s="1">
        <f>F:F/I:I</f>
        <v>4.9264705882352944</v>
      </c>
    </row>
    <row r="689" spans="1:15" x14ac:dyDescent="0.3">
      <c r="A689">
        <v>688</v>
      </c>
      <c r="B689">
        <v>54</v>
      </c>
      <c r="C689" t="s">
        <v>11</v>
      </c>
      <c r="D689" t="s">
        <v>17</v>
      </c>
      <c r="E689" t="s">
        <v>13</v>
      </c>
      <c r="F689">
        <v>387</v>
      </c>
      <c r="G689">
        <v>6.3</v>
      </c>
      <c r="H689">
        <v>2098</v>
      </c>
      <c r="I689">
        <v>61</v>
      </c>
      <c r="J689">
        <v>1178</v>
      </c>
      <c r="K689">
        <v>4</v>
      </c>
      <c r="L689" t="s">
        <v>38</v>
      </c>
      <c r="M689" s="2">
        <f t="shared" si="10"/>
        <v>333.01587301587301</v>
      </c>
      <c r="N68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89" s="1">
        <f>F:F/I:I</f>
        <v>6.3442622950819674</v>
      </c>
    </row>
    <row r="690" spans="1:15" x14ac:dyDescent="0.3">
      <c r="A690">
        <v>689</v>
      </c>
      <c r="B690">
        <v>52</v>
      </c>
      <c r="C690" t="s">
        <v>14</v>
      </c>
      <c r="D690" t="s">
        <v>15</v>
      </c>
      <c r="E690" t="s">
        <v>13</v>
      </c>
      <c r="F690">
        <v>261</v>
      </c>
      <c r="G690">
        <v>4.9000000000000004</v>
      </c>
      <c r="H690">
        <v>1589</v>
      </c>
      <c r="I690">
        <v>56</v>
      </c>
      <c r="J690">
        <v>824</v>
      </c>
      <c r="K690">
        <v>3</v>
      </c>
      <c r="L690" t="s">
        <v>38</v>
      </c>
      <c r="M690" s="2">
        <f t="shared" si="10"/>
        <v>324.28571428571428</v>
      </c>
      <c r="N69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90" s="1">
        <f>F:F/I:I</f>
        <v>4.6607142857142856</v>
      </c>
    </row>
    <row r="691" spans="1:15" x14ac:dyDescent="0.3">
      <c r="A691">
        <v>690</v>
      </c>
      <c r="B691">
        <v>32</v>
      </c>
      <c r="C691" t="s">
        <v>11</v>
      </c>
      <c r="D691" t="s">
        <v>16</v>
      </c>
      <c r="E691" t="s">
        <v>13</v>
      </c>
      <c r="F691">
        <v>541</v>
      </c>
      <c r="G691">
        <v>9.5</v>
      </c>
      <c r="H691">
        <v>2424</v>
      </c>
      <c r="I691">
        <v>98</v>
      </c>
      <c r="J691">
        <v>1550</v>
      </c>
      <c r="K691">
        <v>5</v>
      </c>
      <c r="L691" t="s">
        <v>40</v>
      </c>
      <c r="M691" s="2">
        <f t="shared" si="10"/>
        <v>255.15789473684211</v>
      </c>
      <c r="N69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91" s="1">
        <f>F:F/I:I</f>
        <v>5.5204081632653059</v>
      </c>
    </row>
    <row r="692" spans="1:15" x14ac:dyDescent="0.3">
      <c r="A692">
        <v>691</v>
      </c>
      <c r="B692">
        <v>30</v>
      </c>
      <c r="C692" t="s">
        <v>11</v>
      </c>
      <c r="D692" t="s">
        <v>15</v>
      </c>
      <c r="E692" t="s">
        <v>13</v>
      </c>
      <c r="F692">
        <v>195</v>
      </c>
      <c r="G692">
        <v>5.7</v>
      </c>
      <c r="H692">
        <v>1447</v>
      </c>
      <c r="I692">
        <v>48</v>
      </c>
      <c r="J692">
        <v>679</v>
      </c>
      <c r="K692">
        <v>3</v>
      </c>
      <c r="L692" t="s">
        <v>40</v>
      </c>
      <c r="M692" s="2">
        <f t="shared" si="10"/>
        <v>253.85964912280701</v>
      </c>
      <c r="N692"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92" s="1">
        <f>F:F/I:I</f>
        <v>4.0625</v>
      </c>
    </row>
    <row r="693" spans="1:15" x14ac:dyDescent="0.3">
      <c r="A693">
        <v>692</v>
      </c>
      <c r="B693">
        <v>51</v>
      </c>
      <c r="C693" t="s">
        <v>14</v>
      </c>
      <c r="D693" t="s">
        <v>18</v>
      </c>
      <c r="E693" t="s">
        <v>19</v>
      </c>
      <c r="F693">
        <v>178</v>
      </c>
      <c r="G693">
        <v>4</v>
      </c>
      <c r="H693">
        <v>856</v>
      </c>
      <c r="I693">
        <v>37</v>
      </c>
      <c r="J693">
        <v>569</v>
      </c>
      <c r="K693">
        <v>2</v>
      </c>
      <c r="L693" t="s">
        <v>38</v>
      </c>
      <c r="M693" s="2">
        <f t="shared" si="10"/>
        <v>214</v>
      </c>
      <c r="N693"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93" s="1">
        <f>F:F/I:I</f>
        <v>4.8108108108108105</v>
      </c>
    </row>
    <row r="694" spans="1:15" x14ac:dyDescent="0.3">
      <c r="A694">
        <v>693</v>
      </c>
      <c r="B694">
        <v>48</v>
      </c>
      <c r="C694" t="s">
        <v>14</v>
      </c>
      <c r="D694" t="s">
        <v>12</v>
      </c>
      <c r="E694" t="s">
        <v>13</v>
      </c>
      <c r="F694">
        <v>378</v>
      </c>
      <c r="G694">
        <v>6.7</v>
      </c>
      <c r="H694">
        <v>1898</v>
      </c>
      <c r="I694">
        <v>78</v>
      </c>
      <c r="J694">
        <v>1455</v>
      </c>
      <c r="K694">
        <v>4</v>
      </c>
      <c r="L694" t="s">
        <v>41</v>
      </c>
      <c r="M694" s="2">
        <f t="shared" si="10"/>
        <v>283.28358208955223</v>
      </c>
      <c r="N694"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45-50</v>
      </c>
      <c r="O694" s="1">
        <f>F:F/I:I</f>
        <v>4.8461538461538458</v>
      </c>
    </row>
    <row r="695" spans="1:15" x14ac:dyDescent="0.3">
      <c r="A695">
        <v>694</v>
      </c>
      <c r="B695">
        <v>31</v>
      </c>
      <c r="C695" t="s">
        <v>11</v>
      </c>
      <c r="D695" t="s">
        <v>12</v>
      </c>
      <c r="E695" t="s">
        <v>13</v>
      </c>
      <c r="F695">
        <v>505</v>
      </c>
      <c r="G695">
        <v>8.6</v>
      </c>
      <c r="H695">
        <v>2792</v>
      </c>
      <c r="I695">
        <v>82</v>
      </c>
      <c r="J695">
        <v>1709</v>
      </c>
      <c r="K695">
        <v>5</v>
      </c>
      <c r="L695" t="s">
        <v>40</v>
      </c>
      <c r="M695" s="2">
        <f t="shared" si="10"/>
        <v>324.6511627906977</v>
      </c>
      <c r="N695"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95" s="1">
        <f>F:F/I:I</f>
        <v>6.1585365853658534</v>
      </c>
    </row>
    <row r="696" spans="1:15" x14ac:dyDescent="0.3">
      <c r="A696">
        <v>695</v>
      </c>
      <c r="B696">
        <v>34</v>
      </c>
      <c r="C696" t="s">
        <v>14</v>
      </c>
      <c r="D696" t="s">
        <v>16</v>
      </c>
      <c r="E696" t="s">
        <v>13</v>
      </c>
      <c r="F696">
        <v>564</v>
      </c>
      <c r="G696">
        <v>9.6999999999999993</v>
      </c>
      <c r="H696">
        <v>2422</v>
      </c>
      <c r="I696">
        <v>83</v>
      </c>
      <c r="J696">
        <v>1985</v>
      </c>
      <c r="K696">
        <v>5</v>
      </c>
      <c r="L696" t="s">
        <v>40</v>
      </c>
      <c r="M696" s="2">
        <f t="shared" si="10"/>
        <v>249.69072164948454</v>
      </c>
      <c r="N696"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30-35</v>
      </c>
      <c r="O696" s="1">
        <f>F:F/I:I</f>
        <v>6.7951807228915664</v>
      </c>
    </row>
    <row r="697" spans="1:15" x14ac:dyDescent="0.3">
      <c r="A697">
        <v>696</v>
      </c>
      <c r="B697">
        <v>22</v>
      </c>
      <c r="C697" t="s">
        <v>11</v>
      </c>
      <c r="D697" t="s">
        <v>18</v>
      </c>
      <c r="E697" t="s">
        <v>19</v>
      </c>
      <c r="F697">
        <v>92</v>
      </c>
      <c r="G697">
        <v>3.9</v>
      </c>
      <c r="H697">
        <v>1082</v>
      </c>
      <c r="I697">
        <v>26</v>
      </c>
      <c r="J697">
        <v>381</v>
      </c>
      <c r="K697">
        <v>2</v>
      </c>
      <c r="L697" t="s">
        <v>39</v>
      </c>
      <c r="M697" s="2">
        <f t="shared" si="10"/>
        <v>277.43589743589746</v>
      </c>
      <c r="N697"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697" s="1">
        <f>F:F/I:I</f>
        <v>3.5384615384615383</v>
      </c>
    </row>
    <row r="698" spans="1:15" x14ac:dyDescent="0.3">
      <c r="A698">
        <v>697</v>
      </c>
      <c r="B698">
        <v>59</v>
      </c>
      <c r="C698" t="s">
        <v>11</v>
      </c>
      <c r="D698" t="s">
        <v>12</v>
      </c>
      <c r="E698" t="s">
        <v>13</v>
      </c>
      <c r="F698">
        <v>316</v>
      </c>
      <c r="G698">
        <v>6.8</v>
      </c>
      <c r="H698">
        <v>1965</v>
      </c>
      <c r="I698">
        <v>68</v>
      </c>
      <c r="J698">
        <v>1201</v>
      </c>
      <c r="K698">
        <v>4</v>
      </c>
      <c r="L698" t="s">
        <v>37</v>
      </c>
      <c r="M698" s="2">
        <f t="shared" si="10"/>
        <v>288.97058823529414</v>
      </c>
      <c r="N698"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55-60</v>
      </c>
      <c r="O698" s="1">
        <f>F:F/I:I</f>
        <v>4.6470588235294121</v>
      </c>
    </row>
    <row r="699" spans="1:15" x14ac:dyDescent="0.3">
      <c r="A699">
        <v>698</v>
      </c>
      <c r="B699">
        <v>50</v>
      </c>
      <c r="C699" t="s">
        <v>14</v>
      </c>
      <c r="D699" t="s">
        <v>15</v>
      </c>
      <c r="E699" t="s">
        <v>13</v>
      </c>
      <c r="F699">
        <v>99</v>
      </c>
      <c r="G699">
        <v>3.1</v>
      </c>
      <c r="H699">
        <v>942</v>
      </c>
      <c r="I699">
        <v>22</v>
      </c>
      <c r="J699">
        <v>457</v>
      </c>
      <c r="K699">
        <v>2</v>
      </c>
      <c r="L699" t="s">
        <v>38</v>
      </c>
      <c r="M699" s="2">
        <f t="shared" si="10"/>
        <v>303.87096774193549</v>
      </c>
      <c r="N699"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50-55</v>
      </c>
      <c r="O699" s="1">
        <f>F:F/I:I</f>
        <v>4.5</v>
      </c>
    </row>
    <row r="700" spans="1:15" x14ac:dyDescent="0.3">
      <c r="A700">
        <v>699</v>
      </c>
      <c r="B700">
        <v>44</v>
      </c>
      <c r="C700" t="s">
        <v>11</v>
      </c>
      <c r="D700" t="s">
        <v>16</v>
      </c>
      <c r="E700" t="s">
        <v>13</v>
      </c>
      <c r="F700">
        <v>62</v>
      </c>
      <c r="G700">
        <v>1.7</v>
      </c>
      <c r="H700">
        <v>431</v>
      </c>
      <c r="I700">
        <v>13</v>
      </c>
      <c r="J700">
        <v>224</v>
      </c>
      <c r="K700">
        <v>1</v>
      </c>
      <c r="L700" t="s">
        <v>34</v>
      </c>
      <c r="M700" s="2">
        <f t="shared" si="10"/>
        <v>253.52941176470588</v>
      </c>
      <c r="N700"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40-45</v>
      </c>
      <c r="O700" s="1">
        <f>F:F/I:I</f>
        <v>4.7692307692307692</v>
      </c>
    </row>
    <row r="701" spans="1:15" x14ac:dyDescent="0.3">
      <c r="A701">
        <v>700</v>
      </c>
      <c r="B701">
        <v>23</v>
      </c>
      <c r="C701" t="s">
        <v>14</v>
      </c>
      <c r="D701" t="s">
        <v>17</v>
      </c>
      <c r="E701" t="s">
        <v>13</v>
      </c>
      <c r="F701">
        <v>212</v>
      </c>
      <c r="G701">
        <v>5.4</v>
      </c>
      <c r="H701">
        <v>1306</v>
      </c>
      <c r="I701">
        <v>49</v>
      </c>
      <c r="J701">
        <v>828</v>
      </c>
      <c r="K701">
        <v>3</v>
      </c>
      <c r="L701" t="s">
        <v>39</v>
      </c>
      <c r="M701" s="2">
        <f t="shared" si="10"/>
        <v>241.85185185185185</v>
      </c>
      <c r="N701" s="2" t="str">
        <f>_xlfn.SWITCH(TRUE, user_behavior_dataset[[#This Row],[Age]]&gt;=55, "55-60",
user_behavior_dataset[[#This Row],[Age]]&gt;=50, "50-55",
user_behavior_dataset[[#This Row],[Age]]&gt;=45, "45-50",
user_behavior_dataset[[#This Row],[Age]]&gt;=40, "40-45",
user_behavior_dataset[[#This Row],[Age]]&gt;=35, "35-40",
user_behavior_dataset[[#This Row],[Age]]&gt;=30, "30-35",
user_behavior_dataset[[#This Row],[Age]]&gt;=25, "25-30",
user_behavior_dataset[[#This Row],[Age]]&gt;=20, "20-25",
user_behavior_dataset[[#This Row],[Age]]&gt;=18, "18-20"
)</f>
        <v>20-25</v>
      </c>
      <c r="O701" s="1">
        <f>F:F/I:I</f>
        <v>4.3265306122448983</v>
      </c>
    </row>
    <row r="705" spans="7:7" x14ac:dyDescent="0.3">
      <c r="G705" s="2"/>
    </row>
    <row r="706" spans="7:7" x14ac:dyDescent="0.3">
      <c r="G706" s="2"/>
    </row>
    <row r="707" spans="7:7" x14ac:dyDescent="0.3">
      <c r="G707" s="2"/>
    </row>
    <row r="708" spans="7:7" x14ac:dyDescent="0.3">
      <c r="G708" s="2"/>
    </row>
    <row r="709" spans="7:7" x14ac:dyDescent="0.3">
      <c r="G709" s="2"/>
    </row>
  </sheetData>
  <dataConsolidate topLabels="1">
    <dataRefs count="1">
      <dataRef ref="D1:E701" sheet="user_behavior_dataset"/>
    </dataRefs>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CFE32-732E-4AC0-AF20-08668CC644E1}">
  <dimension ref="B4:T110"/>
  <sheetViews>
    <sheetView workbookViewId="0">
      <selection activeCell="E7" sqref="E7"/>
    </sheetView>
  </sheetViews>
  <sheetFormatPr defaultRowHeight="14.4" x14ac:dyDescent="0.3"/>
  <cols>
    <col min="2" max="2" width="13.109375" bestFit="1" customWidth="1"/>
    <col min="3" max="3" width="31.88671875" bestFit="1" customWidth="1"/>
    <col min="4" max="4" width="5.21875" customWidth="1"/>
    <col min="5" max="5" width="18.5546875" bestFit="1" customWidth="1"/>
    <col min="6" max="6" width="30.77734375" bestFit="1" customWidth="1"/>
    <col min="7" max="7" width="13.109375" bestFit="1" customWidth="1"/>
    <col min="8" max="8" width="20.77734375" bestFit="1" customWidth="1"/>
    <col min="9" max="9" width="13.109375" bestFit="1" customWidth="1"/>
    <col min="10" max="10" width="26.33203125" bestFit="1" customWidth="1"/>
    <col min="11" max="11" width="13.109375" bestFit="1" customWidth="1"/>
    <col min="12" max="12" width="31.88671875" bestFit="1" customWidth="1"/>
    <col min="13" max="13" width="13.109375" bestFit="1" customWidth="1"/>
    <col min="14" max="14" width="24.88671875" bestFit="1" customWidth="1"/>
    <col min="15" max="15" width="31.88671875" bestFit="1" customWidth="1"/>
    <col min="16" max="16" width="16.21875" bestFit="1" customWidth="1"/>
    <col min="17" max="19" width="6.5546875" bestFit="1" customWidth="1"/>
    <col min="20" max="20" width="7.6640625" bestFit="1" customWidth="1"/>
    <col min="21" max="21" width="5" customWidth="1"/>
    <col min="22" max="31" width="5" bestFit="1" customWidth="1"/>
    <col min="32" max="32" width="4" bestFit="1" customWidth="1"/>
    <col min="33" max="37" width="5" bestFit="1" customWidth="1"/>
    <col min="38" max="38" width="4" bestFit="1" customWidth="1"/>
    <col min="39" max="72" width="5" bestFit="1" customWidth="1"/>
    <col min="73" max="73" width="3" bestFit="1" customWidth="1"/>
    <col min="74" max="83" width="5" bestFit="1" customWidth="1"/>
    <col min="84" max="85" width="6" bestFit="1" customWidth="1"/>
    <col min="86" max="91" width="5" bestFit="1" customWidth="1"/>
    <col min="92" max="93" width="6" bestFit="1" customWidth="1"/>
    <col min="94" max="101" width="5" bestFit="1" customWidth="1"/>
  </cols>
  <sheetData>
    <row r="4" spans="2:20" x14ac:dyDescent="0.3">
      <c r="G4" s="3" t="s">
        <v>23</v>
      </c>
      <c r="H4" t="s">
        <v>26</v>
      </c>
      <c r="I4" s="3" t="s">
        <v>23</v>
      </c>
      <c r="J4" t="s">
        <v>45</v>
      </c>
      <c r="M4" s="3" t="s">
        <v>23</v>
      </c>
      <c r="N4" t="s">
        <v>44</v>
      </c>
      <c r="O4" s="3" t="s">
        <v>27</v>
      </c>
      <c r="P4" s="3" t="s">
        <v>25</v>
      </c>
    </row>
    <row r="5" spans="2:20" x14ac:dyDescent="0.3">
      <c r="B5" s="3" t="s">
        <v>23</v>
      </c>
      <c r="C5" t="s">
        <v>28</v>
      </c>
      <c r="E5" t="s">
        <v>47</v>
      </c>
      <c r="G5" s="4" t="s">
        <v>13</v>
      </c>
      <c r="H5" s="6">
        <v>554</v>
      </c>
      <c r="I5" s="4" t="s">
        <v>42</v>
      </c>
      <c r="J5" s="6">
        <v>23</v>
      </c>
      <c r="M5" s="4">
        <v>1</v>
      </c>
      <c r="N5" s="6">
        <v>136</v>
      </c>
      <c r="O5" s="3" t="s">
        <v>23</v>
      </c>
      <c r="P5">
        <v>1</v>
      </c>
      <c r="Q5">
        <v>2</v>
      </c>
      <c r="R5">
        <v>3</v>
      </c>
      <c r="S5">
        <v>4</v>
      </c>
      <c r="T5">
        <v>5</v>
      </c>
    </row>
    <row r="6" spans="2:20" x14ac:dyDescent="0.3">
      <c r="B6" s="4" t="s">
        <v>15</v>
      </c>
      <c r="C6" s="6">
        <v>142</v>
      </c>
      <c r="E6" s="2">
        <v>50.681428571428569</v>
      </c>
      <c r="G6" s="4" t="s">
        <v>19</v>
      </c>
      <c r="H6" s="6">
        <v>146</v>
      </c>
      <c r="I6" s="4" t="s">
        <v>39</v>
      </c>
      <c r="J6" s="6">
        <v>87</v>
      </c>
      <c r="M6" s="4">
        <v>2</v>
      </c>
      <c r="N6" s="6">
        <v>292</v>
      </c>
      <c r="O6" s="4" t="s">
        <v>14</v>
      </c>
      <c r="P6" s="6">
        <v>94.4</v>
      </c>
      <c r="Q6" s="6">
        <v>196</v>
      </c>
      <c r="R6" s="6">
        <v>407.2</v>
      </c>
      <c r="S6" s="6">
        <v>461</v>
      </c>
      <c r="T6" s="6">
        <v>609.20000000000005</v>
      </c>
    </row>
    <row r="7" spans="2:20" x14ac:dyDescent="0.3">
      <c r="B7" s="4" t="s">
        <v>18</v>
      </c>
      <c r="C7" s="6">
        <v>146</v>
      </c>
      <c r="G7" s="4" t="s">
        <v>24</v>
      </c>
      <c r="H7" s="6">
        <v>700</v>
      </c>
      <c r="I7" s="4" t="s">
        <v>36</v>
      </c>
      <c r="J7" s="6">
        <v>93</v>
      </c>
      <c r="M7" s="4">
        <v>3</v>
      </c>
      <c r="N7" s="6">
        <v>429</v>
      </c>
      <c r="O7" s="4" t="s">
        <v>11</v>
      </c>
      <c r="P7" s="6">
        <v>108.3</v>
      </c>
      <c r="Q7" s="6">
        <v>247.5</v>
      </c>
      <c r="R7" s="6">
        <v>301.5</v>
      </c>
      <c r="S7" s="6">
        <v>499.4</v>
      </c>
      <c r="T7" s="6">
        <v>766.4</v>
      </c>
    </row>
    <row r="8" spans="2:20" x14ac:dyDescent="0.3">
      <c r="B8" s="4" t="s">
        <v>17</v>
      </c>
      <c r="C8" s="6">
        <v>133</v>
      </c>
      <c r="E8" s="3" t="s">
        <v>23</v>
      </c>
      <c r="F8" t="s">
        <v>46</v>
      </c>
      <c r="I8" s="4" t="s">
        <v>40</v>
      </c>
      <c r="J8" s="6">
        <v>89</v>
      </c>
      <c r="M8" s="4">
        <v>4</v>
      </c>
      <c r="N8" s="6">
        <v>556</v>
      </c>
      <c r="O8" s="4" t="s">
        <v>24</v>
      </c>
      <c r="P8" s="6">
        <v>202.7</v>
      </c>
      <c r="Q8" s="6">
        <v>443.5</v>
      </c>
      <c r="R8" s="6">
        <v>708.7</v>
      </c>
      <c r="S8" s="6">
        <v>960.4</v>
      </c>
      <c r="T8" s="6">
        <v>1375.6</v>
      </c>
    </row>
    <row r="9" spans="2:20" x14ac:dyDescent="0.3">
      <c r="B9" s="4" t="s">
        <v>16</v>
      </c>
      <c r="C9" s="6">
        <v>133</v>
      </c>
      <c r="E9" s="4" t="s">
        <v>15</v>
      </c>
      <c r="F9" s="6">
        <v>307.38403771177815</v>
      </c>
      <c r="I9" s="4" t="s">
        <v>35</v>
      </c>
      <c r="J9" s="6">
        <v>75</v>
      </c>
      <c r="M9" s="4">
        <v>5</v>
      </c>
      <c r="N9" s="6">
        <v>680</v>
      </c>
    </row>
    <row r="10" spans="2:20" x14ac:dyDescent="0.3">
      <c r="B10" s="4" t="s">
        <v>12</v>
      </c>
      <c r="C10" s="6">
        <v>146</v>
      </c>
      <c r="E10" s="4" t="s">
        <v>18</v>
      </c>
      <c r="F10" s="6">
        <v>303.49987824864189</v>
      </c>
      <c r="I10" s="4" t="s">
        <v>34</v>
      </c>
      <c r="J10" s="6">
        <v>87</v>
      </c>
      <c r="M10" s="4" t="s">
        <v>24</v>
      </c>
      <c r="N10" s="6">
        <v>2093</v>
      </c>
    </row>
    <row r="11" spans="2:20" x14ac:dyDescent="0.3">
      <c r="B11" s="4" t="s">
        <v>24</v>
      </c>
      <c r="C11" s="6">
        <v>700</v>
      </c>
      <c r="E11" s="4" t="s">
        <v>17</v>
      </c>
      <c r="F11" s="6">
        <v>301.72074874916069</v>
      </c>
      <c r="I11" s="4" t="s">
        <v>41</v>
      </c>
      <c r="J11" s="6">
        <v>72</v>
      </c>
    </row>
    <row r="12" spans="2:20" x14ac:dyDescent="0.3">
      <c r="E12" s="4" t="s">
        <v>16</v>
      </c>
      <c r="F12" s="6">
        <v>291.25309221453028</v>
      </c>
      <c r="I12" s="4" t="s">
        <v>38</v>
      </c>
      <c r="J12" s="6">
        <v>92</v>
      </c>
    </row>
    <row r="13" spans="2:20" x14ac:dyDescent="0.3">
      <c r="E13" s="4" t="s">
        <v>12</v>
      </c>
      <c r="F13" s="6">
        <v>305.54901786450489</v>
      </c>
      <c r="I13" s="4" t="s">
        <v>37</v>
      </c>
      <c r="J13" s="6">
        <v>82</v>
      </c>
    </row>
    <row r="14" spans="2:20" x14ac:dyDescent="0.3">
      <c r="B14" s="3" t="s">
        <v>23</v>
      </c>
      <c r="C14" t="s">
        <v>27</v>
      </c>
      <c r="E14" s="4" t="s">
        <v>24</v>
      </c>
      <c r="F14" s="6">
        <v>302.05027576537537</v>
      </c>
      <c r="I14" s="4" t="s">
        <v>24</v>
      </c>
      <c r="J14" s="6">
        <v>700</v>
      </c>
    </row>
    <row r="15" spans="2:20" x14ac:dyDescent="0.3">
      <c r="B15" s="4" t="s">
        <v>14</v>
      </c>
      <c r="C15" s="6">
        <v>1767.8</v>
      </c>
      <c r="E15" t="s">
        <v>31</v>
      </c>
    </row>
    <row r="16" spans="2:20" x14ac:dyDescent="0.3">
      <c r="B16" s="4" t="s">
        <v>11</v>
      </c>
      <c r="C16" s="6">
        <v>1923.1</v>
      </c>
      <c r="E16" s="2">
        <v>929.74285714285713</v>
      </c>
      <c r="F16" s="2"/>
    </row>
    <row r="17" spans="2:14" x14ac:dyDescent="0.3">
      <c r="B17" s="4" t="s">
        <v>24</v>
      </c>
      <c r="C17" s="6">
        <v>3690.9</v>
      </c>
      <c r="I17" s="3" t="s">
        <v>23</v>
      </c>
      <c r="J17" t="s">
        <v>43</v>
      </c>
      <c r="K17" s="3" t="s">
        <v>23</v>
      </c>
      <c r="L17" t="s">
        <v>27</v>
      </c>
    </row>
    <row r="18" spans="2:14" x14ac:dyDescent="0.3">
      <c r="G18" s="3" t="s">
        <v>23</v>
      </c>
      <c r="H18" t="s">
        <v>32</v>
      </c>
      <c r="I18" s="4" t="s">
        <v>42</v>
      </c>
      <c r="J18" s="6">
        <v>21487</v>
      </c>
      <c r="K18" s="4" t="s">
        <v>13</v>
      </c>
      <c r="L18" s="6">
        <v>2898</v>
      </c>
    </row>
    <row r="19" spans="2:14" x14ac:dyDescent="0.3">
      <c r="B19" t="s">
        <v>28</v>
      </c>
      <c r="C19" t="s">
        <v>29</v>
      </c>
      <c r="G19" s="4" t="s">
        <v>42</v>
      </c>
      <c r="H19" s="6">
        <v>5890</v>
      </c>
      <c r="I19" s="4" t="s">
        <v>39</v>
      </c>
      <c r="J19" s="6">
        <v>89939</v>
      </c>
      <c r="K19" s="4" t="s">
        <v>19</v>
      </c>
      <c r="L19" s="6">
        <v>792.9</v>
      </c>
    </row>
    <row r="20" spans="2:14" x14ac:dyDescent="0.3">
      <c r="B20" s="6">
        <v>700</v>
      </c>
      <c r="C20" s="2">
        <v>38.482857142857142</v>
      </c>
      <c r="G20" s="4" t="s">
        <v>39</v>
      </c>
      <c r="H20" s="6">
        <v>26872</v>
      </c>
      <c r="I20" s="4" t="s">
        <v>36</v>
      </c>
      <c r="J20" s="6">
        <v>75826</v>
      </c>
      <c r="K20" s="4" t="s">
        <v>24</v>
      </c>
      <c r="L20" s="6">
        <v>3690.9</v>
      </c>
    </row>
    <row r="21" spans="2:14" x14ac:dyDescent="0.3">
      <c r="G21" s="4" t="s">
        <v>36</v>
      </c>
      <c r="H21" s="6">
        <v>21969</v>
      </c>
      <c r="I21" s="4" t="s">
        <v>40</v>
      </c>
      <c r="J21" s="6">
        <v>85313</v>
      </c>
    </row>
    <row r="22" spans="2:14" x14ac:dyDescent="0.3">
      <c r="B22" t="s">
        <v>29</v>
      </c>
      <c r="C22" t="s">
        <v>30</v>
      </c>
      <c r="G22" s="4" t="s">
        <v>40</v>
      </c>
      <c r="H22" s="6">
        <v>24787</v>
      </c>
      <c r="I22" s="4" t="s">
        <v>35</v>
      </c>
      <c r="J22" s="6">
        <v>69784</v>
      </c>
    </row>
    <row r="23" spans="2:14" x14ac:dyDescent="0.3">
      <c r="B23" s="2">
        <v>38.482857142857142</v>
      </c>
      <c r="C23" s="2">
        <v>5.2727142857142857</v>
      </c>
      <c r="G23" s="4" t="s">
        <v>35</v>
      </c>
      <c r="H23" s="6">
        <v>19650</v>
      </c>
      <c r="I23" s="4" t="s">
        <v>34</v>
      </c>
      <c r="J23" s="6">
        <v>68806</v>
      </c>
      <c r="K23" s="3" t="s">
        <v>23</v>
      </c>
      <c r="L23" t="s">
        <v>27</v>
      </c>
      <c r="M23" s="5" t="s">
        <v>23</v>
      </c>
      <c r="N23" s="5" t="s">
        <v>27</v>
      </c>
    </row>
    <row r="24" spans="2:14" x14ac:dyDescent="0.3">
      <c r="G24" s="4" t="s">
        <v>34</v>
      </c>
      <c r="H24" s="6">
        <v>21398</v>
      </c>
      <c r="I24" s="4" t="s">
        <v>41</v>
      </c>
      <c r="J24" s="6">
        <v>77595</v>
      </c>
      <c r="K24" s="4">
        <v>10</v>
      </c>
      <c r="L24" s="6">
        <v>22.4</v>
      </c>
      <c r="M24" s="4">
        <v>10</v>
      </c>
      <c r="N24" s="6">
        <v>22.4</v>
      </c>
    </row>
    <row r="25" spans="2:14" x14ac:dyDescent="0.3">
      <c r="G25" s="4" t="s">
        <v>41</v>
      </c>
      <c r="H25" s="6">
        <v>21774</v>
      </c>
      <c r="I25" s="4" t="s">
        <v>38</v>
      </c>
      <c r="J25" s="6">
        <v>86683</v>
      </c>
      <c r="K25" s="4">
        <v>11</v>
      </c>
      <c r="L25" s="6">
        <v>18.8</v>
      </c>
      <c r="M25" s="4">
        <v>11</v>
      </c>
      <c r="N25" s="6">
        <v>18.8</v>
      </c>
    </row>
    <row r="26" spans="2:14" x14ac:dyDescent="0.3">
      <c r="B26" s="2"/>
      <c r="G26" s="4" t="s">
        <v>38</v>
      </c>
      <c r="H26" s="6">
        <v>25623</v>
      </c>
      <c r="I26" s="4" t="s">
        <v>37</v>
      </c>
      <c r="J26" s="6">
        <v>75387</v>
      </c>
      <c r="K26" s="4">
        <v>12</v>
      </c>
      <c r="L26" s="6">
        <v>14.8</v>
      </c>
      <c r="M26" s="4">
        <v>12</v>
      </c>
      <c r="N26" s="6">
        <v>14.8</v>
      </c>
    </row>
    <row r="27" spans="2:14" x14ac:dyDescent="0.3">
      <c r="G27" s="4" t="s">
        <v>37</v>
      </c>
      <c r="H27" s="6">
        <v>21827</v>
      </c>
      <c r="I27" s="4" t="s">
        <v>24</v>
      </c>
      <c r="J27" s="6">
        <v>650820</v>
      </c>
      <c r="K27" s="4">
        <v>13</v>
      </c>
      <c r="L27" s="6">
        <v>21.4</v>
      </c>
      <c r="M27" s="4">
        <v>13</v>
      </c>
      <c r="N27" s="6">
        <v>21.4</v>
      </c>
    </row>
    <row r="28" spans="2:14" x14ac:dyDescent="0.3">
      <c r="G28" s="4" t="s">
        <v>24</v>
      </c>
      <c r="H28" s="6">
        <v>189790</v>
      </c>
      <c r="K28" s="4">
        <v>14</v>
      </c>
      <c r="L28" s="6">
        <v>20.2</v>
      </c>
      <c r="M28" s="4">
        <v>14</v>
      </c>
      <c r="N28" s="6">
        <v>20.2</v>
      </c>
    </row>
    <row r="29" spans="2:14" x14ac:dyDescent="0.3">
      <c r="K29" s="4">
        <v>15</v>
      </c>
      <c r="L29" s="6">
        <v>20.9</v>
      </c>
      <c r="M29" s="4">
        <v>15</v>
      </c>
      <c r="N29" s="6">
        <v>20.9</v>
      </c>
    </row>
    <row r="30" spans="2:14" x14ac:dyDescent="0.3">
      <c r="K30" s="4">
        <v>16</v>
      </c>
      <c r="L30" s="6">
        <v>24.3</v>
      </c>
      <c r="M30" s="4">
        <v>16</v>
      </c>
      <c r="N30" s="6">
        <v>24.3</v>
      </c>
    </row>
    <row r="31" spans="2:14" x14ac:dyDescent="0.3">
      <c r="G31" s="3" t="s">
        <v>23</v>
      </c>
      <c r="H31" t="s">
        <v>27</v>
      </c>
      <c r="K31" s="4">
        <v>17</v>
      </c>
      <c r="L31" s="6">
        <v>18.8</v>
      </c>
      <c r="M31" s="4">
        <v>17</v>
      </c>
      <c r="N31" s="6">
        <v>18.8</v>
      </c>
    </row>
    <row r="32" spans="2:14" x14ac:dyDescent="0.3">
      <c r="G32" s="4" t="s">
        <v>42</v>
      </c>
      <c r="H32" s="6">
        <v>117.4</v>
      </c>
      <c r="K32" s="4">
        <v>18</v>
      </c>
      <c r="L32" s="6">
        <v>21.6</v>
      </c>
      <c r="M32" s="4">
        <v>18</v>
      </c>
      <c r="N32" s="6">
        <v>21.6</v>
      </c>
    </row>
    <row r="33" spans="7:14" x14ac:dyDescent="0.3">
      <c r="G33" s="4" t="s">
        <v>39</v>
      </c>
      <c r="H33" s="6">
        <v>502</v>
      </c>
      <c r="K33" s="4">
        <v>19</v>
      </c>
      <c r="L33" s="6">
        <v>19.5</v>
      </c>
      <c r="M33" s="4">
        <v>19</v>
      </c>
      <c r="N33" s="6">
        <v>19.5</v>
      </c>
    </row>
    <row r="34" spans="7:14" x14ac:dyDescent="0.3">
      <c r="G34" s="4" t="s">
        <v>36</v>
      </c>
      <c r="H34" s="6">
        <v>437.6</v>
      </c>
      <c r="K34" s="4">
        <v>21</v>
      </c>
      <c r="L34" s="6">
        <v>21.8</v>
      </c>
      <c r="M34" s="4">
        <v>21</v>
      </c>
      <c r="N34" s="6">
        <v>21.8</v>
      </c>
    </row>
    <row r="35" spans="7:14" x14ac:dyDescent="0.3">
      <c r="G35" s="4" t="s">
        <v>40</v>
      </c>
      <c r="H35" s="6">
        <v>476.4</v>
      </c>
      <c r="K35" s="4">
        <v>22</v>
      </c>
      <c r="L35" s="6">
        <v>28.8</v>
      </c>
      <c r="M35" s="4">
        <v>22</v>
      </c>
      <c r="N35" s="6">
        <v>28.8</v>
      </c>
    </row>
    <row r="36" spans="7:14" x14ac:dyDescent="0.3">
      <c r="G36" s="4" t="s">
        <v>35</v>
      </c>
      <c r="H36" s="6">
        <v>389.2</v>
      </c>
      <c r="K36" s="4">
        <v>23</v>
      </c>
      <c r="L36" s="6">
        <v>12.9</v>
      </c>
      <c r="M36" s="4">
        <v>23</v>
      </c>
      <c r="N36" s="6">
        <v>12.9</v>
      </c>
    </row>
    <row r="37" spans="7:14" x14ac:dyDescent="0.3">
      <c r="G37" s="4" t="s">
        <v>34</v>
      </c>
      <c r="H37" s="6">
        <v>412.4</v>
      </c>
      <c r="K37" s="4">
        <v>24</v>
      </c>
      <c r="L37" s="6">
        <v>20.3</v>
      </c>
      <c r="M37" s="4">
        <v>24</v>
      </c>
      <c r="N37" s="6">
        <v>20.3</v>
      </c>
    </row>
    <row r="38" spans="7:14" x14ac:dyDescent="0.3">
      <c r="G38" s="4" t="s">
        <v>41</v>
      </c>
      <c r="H38" s="6">
        <v>424.9</v>
      </c>
      <c r="K38" s="4">
        <v>25</v>
      </c>
      <c r="L38" s="6">
        <v>16.100000000000001</v>
      </c>
      <c r="M38" s="4">
        <v>25</v>
      </c>
      <c r="N38" s="6">
        <v>16.100000000000001</v>
      </c>
    </row>
    <row r="39" spans="7:14" x14ac:dyDescent="0.3">
      <c r="G39" s="4" t="s">
        <v>38</v>
      </c>
      <c r="H39" s="6">
        <v>498.1</v>
      </c>
      <c r="K39" s="4">
        <v>26</v>
      </c>
      <c r="L39" s="6">
        <v>27.4</v>
      </c>
      <c r="M39" s="4">
        <v>26</v>
      </c>
      <c r="N39" s="6">
        <v>27.4</v>
      </c>
    </row>
    <row r="40" spans="7:14" x14ac:dyDescent="0.3">
      <c r="G40" s="4" t="s">
        <v>37</v>
      </c>
      <c r="H40" s="6">
        <v>432.9</v>
      </c>
      <c r="K40" s="4">
        <v>27</v>
      </c>
      <c r="L40" s="6">
        <v>7.1</v>
      </c>
      <c r="M40" s="4">
        <v>27</v>
      </c>
      <c r="N40" s="6">
        <v>7.1</v>
      </c>
    </row>
    <row r="41" spans="7:14" x14ac:dyDescent="0.3">
      <c r="G41" s="4" t="s">
        <v>24</v>
      </c>
      <c r="H41" s="6">
        <v>3690.9</v>
      </c>
      <c r="K41" s="4">
        <v>28</v>
      </c>
      <c r="L41" s="6">
        <v>21.6</v>
      </c>
      <c r="M41" s="4">
        <v>28</v>
      </c>
      <c r="N41" s="6">
        <v>21.6</v>
      </c>
    </row>
    <row r="42" spans="7:14" x14ac:dyDescent="0.3">
      <c r="K42" s="4">
        <v>29</v>
      </c>
      <c r="L42" s="6">
        <v>20.5</v>
      </c>
      <c r="M42" s="4">
        <v>29</v>
      </c>
      <c r="N42" s="6">
        <v>20.5</v>
      </c>
    </row>
    <row r="43" spans="7:14" x14ac:dyDescent="0.3">
      <c r="K43" s="4">
        <v>30</v>
      </c>
      <c r="L43" s="6">
        <v>16.399999999999999</v>
      </c>
      <c r="M43" s="4">
        <v>30</v>
      </c>
      <c r="N43" s="6">
        <v>16.399999999999999</v>
      </c>
    </row>
    <row r="44" spans="7:14" x14ac:dyDescent="0.3">
      <c r="K44" s="4">
        <v>31</v>
      </c>
      <c r="L44" s="6">
        <v>28.3</v>
      </c>
      <c r="M44" s="4">
        <v>31</v>
      </c>
      <c r="N44" s="6">
        <v>28.3</v>
      </c>
    </row>
    <row r="45" spans="7:14" x14ac:dyDescent="0.3">
      <c r="K45" s="4">
        <v>32</v>
      </c>
      <c r="L45" s="6">
        <v>40.1</v>
      </c>
      <c r="M45" s="4">
        <v>32</v>
      </c>
      <c r="N45" s="6">
        <v>40.1</v>
      </c>
    </row>
    <row r="46" spans="7:14" x14ac:dyDescent="0.3">
      <c r="K46" s="4">
        <v>33</v>
      </c>
      <c r="L46" s="6">
        <v>15</v>
      </c>
      <c r="M46" s="4">
        <v>33</v>
      </c>
      <c r="N46" s="6">
        <v>15</v>
      </c>
    </row>
    <row r="47" spans="7:14" x14ac:dyDescent="0.3">
      <c r="K47" s="4">
        <v>34</v>
      </c>
      <c r="L47" s="6">
        <v>19.7</v>
      </c>
      <c r="M47" s="4">
        <v>34</v>
      </c>
      <c r="N47" s="6">
        <v>19.7</v>
      </c>
    </row>
    <row r="48" spans="7:14" x14ac:dyDescent="0.3">
      <c r="K48" s="4">
        <v>35</v>
      </c>
      <c r="L48" s="6">
        <v>24.9</v>
      </c>
      <c r="M48" s="4">
        <v>35</v>
      </c>
      <c r="N48" s="6">
        <v>24.9</v>
      </c>
    </row>
    <row r="49" spans="11:14" x14ac:dyDescent="0.3">
      <c r="K49" s="4">
        <v>36</v>
      </c>
      <c r="L49" s="6">
        <v>40.4</v>
      </c>
      <c r="M49" s="4">
        <v>36</v>
      </c>
      <c r="N49" s="6">
        <v>40.4</v>
      </c>
    </row>
    <row r="50" spans="11:14" x14ac:dyDescent="0.3">
      <c r="K50" s="4">
        <v>37</v>
      </c>
      <c r="L50" s="6">
        <v>28.1</v>
      </c>
      <c r="M50" s="4">
        <v>37</v>
      </c>
      <c r="N50" s="6">
        <v>28.1</v>
      </c>
    </row>
    <row r="51" spans="11:14" x14ac:dyDescent="0.3">
      <c r="K51" s="4">
        <v>38</v>
      </c>
      <c r="L51" s="6">
        <v>34.9</v>
      </c>
      <c r="M51" s="4">
        <v>38</v>
      </c>
      <c r="N51" s="6">
        <v>34.9</v>
      </c>
    </row>
    <row r="52" spans="11:14" x14ac:dyDescent="0.3">
      <c r="K52" s="4">
        <v>39</v>
      </c>
      <c r="L52" s="6">
        <v>19.2</v>
      </c>
      <c r="M52" s="4">
        <v>39</v>
      </c>
      <c r="N52" s="6">
        <v>19.2</v>
      </c>
    </row>
    <row r="53" spans="11:14" x14ac:dyDescent="0.3">
      <c r="K53" s="4">
        <v>41</v>
      </c>
      <c r="L53" s="6">
        <v>21.1</v>
      </c>
      <c r="M53" s="4">
        <v>41</v>
      </c>
      <c r="N53" s="6">
        <v>21.1</v>
      </c>
    </row>
    <row r="54" spans="11:14" x14ac:dyDescent="0.3">
      <c r="K54" s="4">
        <v>42</v>
      </c>
      <c r="L54" s="6">
        <v>45.4</v>
      </c>
      <c r="M54" s="4">
        <v>42</v>
      </c>
      <c r="N54" s="6">
        <v>45.4</v>
      </c>
    </row>
    <row r="55" spans="11:14" x14ac:dyDescent="0.3">
      <c r="K55" s="4">
        <v>43</v>
      </c>
      <c r="L55" s="6">
        <v>33.4</v>
      </c>
      <c r="M55" s="4">
        <v>43</v>
      </c>
      <c r="N55" s="6">
        <v>33.4</v>
      </c>
    </row>
    <row r="56" spans="11:14" x14ac:dyDescent="0.3">
      <c r="K56" s="4">
        <v>44</v>
      </c>
      <c r="L56" s="6">
        <v>36.4</v>
      </c>
      <c r="M56" s="4">
        <v>44</v>
      </c>
      <c r="N56" s="6">
        <v>36.4</v>
      </c>
    </row>
    <row r="57" spans="11:14" x14ac:dyDescent="0.3">
      <c r="K57" s="4">
        <v>45</v>
      </c>
      <c r="L57" s="6">
        <v>69.7</v>
      </c>
      <c r="M57" s="4">
        <v>45</v>
      </c>
      <c r="N57" s="6">
        <v>69.7</v>
      </c>
    </row>
    <row r="58" spans="11:14" x14ac:dyDescent="0.3">
      <c r="K58" s="4">
        <v>46</v>
      </c>
      <c r="L58" s="6">
        <v>33.799999999999997</v>
      </c>
      <c r="M58" s="4">
        <v>46</v>
      </c>
      <c r="N58" s="6">
        <v>33.799999999999997</v>
      </c>
    </row>
    <row r="59" spans="11:14" x14ac:dyDescent="0.3">
      <c r="K59" s="4">
        <v>47</v>
      </c>
      <c r="L59" s="6">
        <v>42.9</v>
      </c>
      <c r="M59" s="4">
        <v>47</v>
      </c>
      <c r="N59" s="6">
        <v>42.9</v>
      </c>
    </row>
    <row r="60" spans="11:14" x14ac:dyDescent="0.3">
      <c r="K60" s="4">
        <v>48</v>
      </c>
      <c r="L60" s="6">
        <v>35.299999999999997</v>
      </c>
      <c r="M60" s="4">
        <v>48</v>
      </c>
      <c r="N60" s="6">
        <v>35.299999999999997</v>
      </c>
    </row>
    <row r="61" spans="11:14" x14ac:dyDescent="0.3">
      <c r="K61" s="4">
        <v>49</v>
      </c>
      <c r="L61" s="6">
        <v>42</v>
      </c>
      <c r="M61" s="4">
        <v>49</v>
      </c>
      <c r="N61" s="6">
        <v>42</v>
      </c>
    </row>
    <row r="62" spans="11:14" x14ac:dyDescent="0.3">
      <c r="K62" s="4">
        <v>50</v>
      </c>
      <c r="L62" s="6">
        <v>14.4</v>
      </c>
      <c r="M62" s="4">
        <v>50</v>
      </c>
      <c r="N62" s="6">
        <v>14.4</v>
      </c>
    </row>
    <row r="63" spans="11:14" x14ac:dyDescent="0.3">
      <c r="K63" s="4">
        <v>51</v>
      </c>
      <c r="L63" s="6">
        <v>28.6</v>
      </c>
      <c r="M63" s="4">
        <v>51</v>
      </c>
      <c r="N63" s="6">
        <v>28.6</v>
      </c>
    </row>
    <row r="64" spans="11:14" x14ac:dyDescent="0.3">
      <c r="K64" s="4">
        <v>52</v>
      </c>
      <c r="L64" s="6">
        <v>54.8</v>
      </c>
      <c r="M64" s="4">
        <v>52</v>
      </c>
      <c r="N64" s="6">
        <v>54.8</v>
      </c>
    </row>
    <row r="65" spans="11:14" x14ac:dyDescent="0.3">
      <c r="K65" s="4">
        <v>53</v>
      </c>
      <c r="L65" s="6">
        <v>26.3</v>
      </c>
      <c r="M65" s="4">
        <v>53</v>
      </c>
      <c r="N65" s="6">
        <v>26.3</v>
      </c>
    </row>
    <row r="66" spans="11:14" x14ac:dyDescent="0.3">
      <c r="K66" s="4">
        <v>54</v>
      </c>
      <c r="L66" s="6">
        <v>34</v>
      </c>
      <c r="M66" s="4">
        <v>54</v>
      </c>
      <c r="N66" s="6">
        <v>34</v>
      </c>
    </row>
    <row r="67" spans="11:14" x14ac:dyDescent="0.3">
      <c r="K67" s="4">
        <v>55</v>
      </c>
      <c r="L67" s="6">
        <v>34.4</v>
      </c>
      <c r="M67" s="4">
        <v>55</v>
      </c>
      <c r="N67" s="6">
        <v>34.4</v>
      </c>
    </row>
    <row r="68" spans="11:14" x14ac:dyDescent="0.3">
      <c r="K68" s="4">
        <v>56</v>
      </c>
      <c r="L68" s="6">
        <v>48.7</v>
      </c>
      <c r="M68" s="4">
        <v>56</v>
      </c>
      <c r="N68" s="6">
        <v>48.7</v>
      </c>
    </row>
    <row r="69" spans="11:14" x14ac:dyDescent="0.3">
      <c r="K69" s="4">
        <v>57</v>
      </c>
      <c r="L69" s="6">
        <v>29.9</v>
      </c>
      <c r="M69" s="4">
        <v>57</v>
      </c>
      <c r="N69" s="6">
        <v>29.9</v>
      </c>
    </row>
    <row r="70" spans="11:14" x14ac:dyDescent="0.3">
      <c r="K70" s="4">
        <v>58</v>
      </c>
      <c r="L70" s="6">
        <v>29.9</v>
      </c>
      <c r="M70" s="4">
        <v>58</v>
      </c>
      <c r="N70" s="6">
        <v>29.9</v>
      </c>
    </row>
    <row r="71" spans="11:14" x14ac:dyDescent="0.3">
      <c r="K71" s="4">
        <v>59</v>
      </c>
      <c r="L71" s="6">
        <v>47.7</v>
      </c>
      <c r="M71" s="4">
        <v>59</v>
      </c>
      <c r="N71" s="6">
        <v>47.7</v>
      </c>
    </row>
    <row r="72" spans="11:14" x14ac:dyDescent="0.3">
      <c r="K72" s="4">
        <v>61</v>
      </c>
      <c r="L72" s="6">
        <v>68.3</v>
      </c>
      <c r="M72" s="4">
        <v>61</v>
      </c>
      <c r="N72" s="6">
        <v>68.3</v>
      </c>
    </row>
    <row r="73" spans="11:14" x14ac:dyDescent="0.3">
      <c r="K73" s="4">
        <v>62</v>
      </c>
      <c r="L73" s="6">
        <v>21.5</v>
      </c>
      <c r="M73" s="4">
        <v>62</v>
      </c>
      <c r="N73" s="6">
        <v>21.5</v>
      </c>
    </row>
    <row r="74" spans="11:14" x14ac:dyDescent="0.3">
      <c r="K74" s="4">
        <v>63</v>
      </c>
      <c r="L74" s="6">
        <v>45.9</v>
      </c>
      <c r="M74" s="4">
        <v>63</v>
      </c>
      <c r="N74" s="6">
        <v>45.9</v>
      </c>
    </row>
    <row r="75" spans="11:14" x14ac:dyDescent="0.3">
      <c r="K75" s="4">
        <v>64</v>
      </c>
      <c r="L75" s="6">
        <v>51.1</v>
      </c>
      <c r="M75" s="4">
        <v>64</v>
      </c>
      <c r="N75" s="6">
        <v>51.1</v>
      </c>
    </row>
    <row r="76" spans="11:14" x14ac:dyDescent="0.3">
      <c r="K76" s="4">
        <v>65</v>
      </c>
      <c r="L76" s="6">
        <v>41.9</v>
      </c>
      <c r="M76" s="4">
        <v>65</v>
      </c>
      <c r="N76" s="6">
        <v>41.9</v>
      </c>
    </row>
    <row r="77" spans="11:14" x14ac:dyDescent="0.3">
      <c r="K77" s="4">
        <v>66</v>
      </c>
      <c r="L77" s="6">
        <v>78.099999999999994</v>
      </c>
      <c r="M77" s="4">
        <v>66</v>
      </c>
      <c r="N77" s="6">
        <v>78.099999999999994</v>
      </c>
    </row>
    <row r="78" spans="11:14" x14ac:dyDescent="0.3">
      <c r="K78" s="4">
        <v>67</v>
      </c>
      <c r="L78" s="6">
        <v>52.5</v>
      </c>
      <c r="M78" s="4">
        <v>67</v>
      </c>
      <c r="N78" s="6">
        <v>52.5</v>
      </c>
    </row>
    <row r="79" spans="11:14" x14ac:dyDescent="0.3">
      <c r="K79" s="4">
        <v>68</v>
      </c>
      <c r="L79" s="6">
        <v>70.099999999999994</v>
      </c>
      <c r="M79" s="4">
        <v>68</v>
      </c>
      <c r="N79" s="6">
        <v>70.099999999999994</v>
      </c>
    </row>
    <row r="80" spans="11:14" x14ac:dyDescent="0.3">
      <c r="K80" s="4">
        <v>69</v>
      </c>
      <c r="L80" s="6">
        <v>63.7</v>
      </c>
      <c r="M80" s="4">
        <v>69</v>
      </c>
      <c r="N80" s="6">
        <v>63.7</v>
      </c>
    </row>
    <row r="81" spans="11:14" x14ac:dyDescent="0.3">
      <c r="K81" s="4">
        <v>70</v>
      </c>
      <c r="L81" s="6">
        <v>19</v>
      </c>
      <c r="M81" s="4">
        <v>70</v>
      </c>
      <c r="N81" s="6">
        <v>19</v>
      </c>
    </row>
    <row r="82" spans="11:14" x14ac:dyDescent="0.3">
      <c r="K82" s="4">
        <v>71</v>
      </c>
      <c r="L82" s="6">
        <v>53.8</v>
      </c>
      <c r="M82" s="4">
        <v>71</v>
      </c>
      <c r="N82" s="6">
        <v>53.8</v>
      </c>
    </row>
    <row r="83" spans="11:14" x14ac:dyDescent="0.3">
      <c r="K83" s="4">
        <v>72</v>
      </c>
      <c r="L83" s="6">
        <v>54.6</v>
      </c>
      <c r="M83" s="4">
        <v>72</v>
      </c>
      <c r="N83" s="6">
        <v>54.6</v>
      </c>
    </row>
    <row r="84" spans="11:14" x14ac:dyDescent="0.3">
      <c r="K84" s="4">
        <v>73</v>
      </c>
      <c r="L84" s="6">
        <v>42.4</v>
      </c>
      <c r="M84" s="4">
        <v>73</v>
      </c>
      <c r="N84" s="6">
        <v>42.4</v>
      </c>
    </row>
    <row r="85" spans="11:14" x14ac:dyDescent="0.3">
      <c r="K85" s="4">
        <v>74</v>
      </c>
      <c r="L85" s="6">
        <v>35.6</v>
      </c>
      <c r="M85" s="4">
        <v>74</v>
      </c>
      <c r="N85" s="6">
        <v>35.6</v>
      </c>
    </row>
    <row r="86" spans="11:14" x14ac:dyDescent="0.3">
      <c r="K86" s="4">
        <v>75</v>
      </c>
      <c r="L86" s="6">
        <v>70.7</v>
      </c>
      <c r="M86" s="4">
        <v>75</v>
      </c>
      <c r="N86" s="6">
        <v>70.7</v>
      </c>
    </row>
    <row r="87" spans="11:14" x14ac:dyDescent="0.3">
      <c r="K87" s="4">
        <v>76</v>
      </c>
      <c r="L87" s="6">
        <v>32.5</v>
      </c>
      <c r="M87" s="4">
        <v>76</v>
      </c>
      <c r="N87" s="6">
        <v>32.5</v>
      </c>
    </row>
    <row r="88" spans="11:14" x14ac:dyDescent="0.3">
      <c r="K88" s="4">
        <v>77</v>
      </c>
      <c r="L88" s="6">
        <v>69.900000000000006</v>
      </c>
      <c r="M88" s="4">
        <v>77</v>
      </c>
      <c r="N88" s="6">
        <v>69.900000000000006</v>
      </c>
    </row>
    <row r="89" spans="11:14" x14ac:dyDescent="0.3">
      <c r="K89" s="4">
        <v>78</v>
      </c>
      <c r="L89" s="6">
        <v>54.7</v>
      </c>
      <c r="M89" s="4">
        <v>78</v>
      </c>
      <c r="N89" s="6">
        <v>54.7</v>
      </c>
    </row>
    <row r="90" spans="11:14" x14ac:dyDescent="0.3">
      <c r="K90" s="4">
        <v>79</v>
      </c>
      <c r="L90" s="6">
        <v>34.1</v>
      </c>
      <c r="M90" s="4">
        <v>79</v>
      </c>
      <c r="N90" s="6">
        <v>34.1</v>
      </c>
    </row>
    <row r="91" spans="11:14" x14ac:dyDescent="0.3">
      <c r="K91" s="4">
        <v>81</v>
      </c>
      <c r="L91" s="6">
        <v>73.599999999999994</v>
      </c>
      <c r="M91" s="4">
        <v>81</v>
      </c>
      <c r="N91" s="6">
        <v>73.599999999999994</v>
      </c>
    </row>
    <row r="92" spans="11:14" x14ac:dyDescent="0.3">
      <c r="K92" s="4">
        <v>82</v>
      </c>
      <c r="L92" s="6">
        <v>117.1</v>
      </c>
      <c r="M92" s="4">
        <v>82</v>
      </c>
      <c r="N92" s="6">
        <v>117.1</v>
      </c>
    </row>
    <row r="93" spans="11:14" x14ac:dyDescent="0.3">
      <c r="K93" s="4">
        <v>83</v>
      </c>
      <c r="L93" s="6">
        <v>100.7</v>
      </c>
      <c r="M93" s="4">
        <v>83</v>
      </c>
      <c r="N93" s="6">
        <v>100.7</v>
      </c>
    </row>
    <row r="94" spans="11:14" x14ac:dyDescent="0.3">
      <c r="K94" s="4">
        <v>84</v>
      </c>
      <c r="L94" s="6">
        <v>96.2</v>
      </c>
      <c r="M94" s="4">
        <v>84</v>
      </c>
      <c r="N94" s="6">
        <v>96.2</v>
      </c>
    </row>
    <row r="95" spans="11:14" x14ac:dyDescent="0.3">
      <c r="K95" s="4">
        <v>85</v>
      </c>
      <c r="L95" s="6">
        <v>31.5</v>
      </c>
      <c r="M95" s="4">
        <v>85</v>
      </c>
      <c r="N95" s="6">
        <v>31.5</v>
      </c>
    </row>
    <row r="96" spans="11:14" x14ac:dyDescent="0.3">
      <c r="K96" s="4">
        <v>86</v>
      </c>
      <c r="L96" s="6">
        <v>77.099999999999994</v>
      </c>
      <c r="M96" s="4">
        <v>86</v>
      </c>
      <c r="N96" s="6">
        <v>77.099999999999994</v>
      </c>
    </row>
    <row r="97" spans="11:14" x14ac:dyDescent="0.3">
      <c r="K97" s="4">
        <v>87</v>
      </c>
      <c r="L97" s="6">
        <v>60.5</v>
      </c>
      <c r="M97" s="4">
        <v>87</v>
      </c>
      <c r="N97" s="6">
        <v>60.5</v>
      </c>
    </row>
    <row r="98" spans="11:14" x14ac:dyDescent="0.3">
      <c r="K98" s="4">
        <v>88</v>
      </c>
      <c r="L98" s="6">
        <v>51.2</v>
      </c>
      <c r="M98" s="4">
        <v>88</v>
      </c>
      <c r="N98" s="6">
        <v>51.2</v>
      </c>
    </row>
    <row r="99" spans="11:14" x14ac:dyDescent="0.3">
      <c r="K99" s="4">
        <v>89</v>
      </c>
      <c r="L99" s="6">
        <v>94.1</v>
      </c>
      <c r="M99" s="4">
        <v>89</v>
      </c>
      <c r="N99" s="6">
        <v>94.1</v>
      </c>
    </row>
    <row r="100" spans="11:14" x14ac:dyDescent="0.3">
      <c r="K100" s="4">
        <v>90</v>
      </c>
      <c r="L100" s="6">
        <v>135.4</v>
      </c>
      <c r="M100" s="4">
        <v>90</v>
      </c>
      <c r="N100" s="6">
        <v>135.4</v>
      </c>
    </row>
    <row r="101" spans="11:14" x14ac:dyDescent="0.3">
      <c r="K101" s="4">
        <v>91</v>
      </c>
      <c r="L101" s="6">
        <v>120.6</v>
      </c>
      <c r="M101" s="4">
        <v>91</v>
      </c>
      <c r="N101" s="6">
        <v>120.6</v>
      </c>
    </row>
    <row r="102" spans="11:14" x14ac:dyDescent="0.3">
      <c r="K102" s="4">
        <v>92</v>
      </c>
      <c r="L102" s="6">
        <v>60.1</v>
      </c>
      <c r="M102" s="4">
        <v>92</v>
      </c>
      <c r="N102" s="6">
        <v>60.1</v>
      </c>
    </row>
    <row r="103" spans="11:14" x14ac:dyDescent="0.3">
      <c r="K103" s="4">
        <v>93</v>
      </c>
      <c r="L103" s="6">
        <v>52.5</v>
      </c>
      <c r="M103" s="4">
        <v>93</v>
      </c>
      <c r="N103" s="6">
        <v>52.5</v>
      </c>
    </row>
    <row r="104" spans="11:14" x14ac:dyDescent="0.3">
      <c r="K104" s="4">
        <v>94</v>
      </c>
      <c r="L104" s="6">
        <v>29.7</v>
      </c>
      <c r="M104" s="4">
        <v>94</v>
      </c>
      <c r="N104" s="6">
        <v>29.7</v>
      </c>
    </row>
    <row r="105" spans="11:14" x14ac:dyDescent="0.3">
      <c r="K105" s="4">
        <v>95</v>
      </c>
      <c r="L105" s="6">
        <v>39.799999999999997</v>
      </c>
      <c r="M105" s="4">
        <v>95</v>
      </c>
      <c r="N105" s="6">
        <v>39.799999999999997</v>
      </c>
    </row>
    <row r="106" spans="11:14" x14ac:dyDescent="0.3">
      <c r="K106" s="4">
        <v>96</v>
      </c>
      <c r="L106" s="6">
        <v>29.8</v>
      </c>
      <c r="M106" s="4">
        <v>96</v>
      </c>
      <c r="N106" s="6">
        <v>29.8</v>
      </c>
    </row>
    <row r="107" spans="11:14" x14ac:dyDescent="0.3">
      <c r="K107" s="4">
        <v>97</v>
      </c>
      <c r="L107" s="6">
        <v>57.1</v>
      </c>
      <c r="M107" s="4">
        <v>97</v>
      </c>
      <c r="N107" s="6">
        <v>57.1</v>
      </c>
    </row>
    <row r="108" spans="11:14" x14ac:dyDescent="0.3">
      <c r="K108" s="4">
        <v>98</v>
      </c>
      <c r="L108" s="6">
        <v>57.8</v>
      </c>
      <c r="M108" s="4">
        <v>98</v>
      </c>
      <c r="N108" s="6">
        <v>57.8</v>
      </c>
    </row>
    <row r="109" spans="11:14" x14ac:dyDescent="0.3">
      <c r="K109" s="4">
        <v>99</v>
      </c>
      <c r="L109" s="6">
        <v>90.8</v>
      </c>
      <c r="M109" s="4">
        <v>99</v>
      </c>
      <c r="N109" s="6">
        <v>90.8</v>
      </c>
    </row>
    <row r="110" spans="11:14" x14ac:dyDescent="0.3">
      <c r="K110" s="4" t="s">
        <v>24</v>
      </c>
      <c r="L110" s="6">
        <v>3690.9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B0E6-9837-4C1B-84C8-4B7B4726885A}">
  <dimension ref="A2"/>
  <sheetViews>
    <sheetView tabSelected="1" workbookViewId="0">
      <selection activeCell="Y11" sqref="Y11"/>
    </sheetView>
  </sheetViews>
  <sheetFormatPr defaultRowHeight="14.4" x14ac:dyDescent="0.3"/>
  <cols>
    <col min="1" max="16384" width="8.88671875" style="7"/>
  </cols>
  <sheetData>
    <row r="2" s="7" customFormat="1" ht="1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CA34098-C8A7-49AF-859E-1568D75CCBC4}">
  <ds:schemaRefs/>
</ds:datastoreItem>
</file>

<file path=customXml/itemProps2.xml><?xml version="1.0" encoding="utf-8"?>
<ds:datastoreItem xmlns:ds="http://schemas.openxmlformats.org/officeDocument/2006/customXml" ds:itemID="{A661BCBF-4D16-478B-9908-ADDFC27B726F}">
  <ds:schemaRefs/>
</ds:datastoreItem>
</file>

<file path=customXml/itemProps3.xml><?xml version="1.0" encoding="utf-8"?>
<ds:datastoreItem xmlns:ds="http://schemas.openxmlformats.org/officeDocument/2006/customXml" ds:itemID="{52DC6BFE-BE3E-4187-9D66-98B9AEFA3A2A}">
  <ds:schemaRefs/>
</ds:datastoreItem>
</file>

<file path=customXml/itemProps4.xml><?xml version="1.0" encoding="utf-8"?>
<ds:datastoreItem xmlns:ds="http://schemas.openxmlformats.org/officeDocument/2006/customXml" ds:itemID="{975DCF5A-B94F-431C-9C40-F3B16760EA79}">
  <ds:schemaRefs/>
</ds:datastoreItem>
</file>

<file path=customXml/itemProps5.xml><?xml version="1.0" encoding="utf-8"?>
<ds:datastoreItem xmlns:ds="http://schemas.openxmlformats.org/officeDocument/2006/customXml" ds:itemID="{205D5C46-0F36-4D1D-8F2F-6503C29E0B58}">
  <ds:schemaRefs/>
</ds:datastoreItem>
</file>

<file path=customXml/itemProps6.xml><?xml version="1.0" encoding="utf-8"?>
<ds:datastoreItem xmlns:ds="http://schemas.openxmlformats.org/officeDocument/2006/customXml" ds:itemID="{02534C50-A845-4B42-B7D0-BE00E5DDFADD}">
  <ds:schemaRefs/>
</ds:datastoreItem>
</file>

<file path=customXml/itemProps7.xml><?xml version="1.0" encoding="utf-8"?>
<ds:datastoreItem xmlns:ds="http://schemas.openxmlformats.org/officeDocument/2006/customXml" ds:itemID="{A00DB500-E683-46EF-AAE2-0743E8D96EDE}">
  <ds:schemaRefs/>
</ds:datastoreItem>
</file>

<file path=customXml/itemProps8.xml><?xml version="1.0" encoding="utf-8"?>
<ds:datastoreItem xmlns:ds="http://schemas.openxmlformats.org/officeDocument/2006/customXml" ds:itemID="{0F7EB427-1F42-45AA-85AE-25A923139373}">
  <ds:schemaRefs/>
</ds:datastoreItem>
</file>

<file path=customXml/itemProps9.xml><?xml version="1.0" encoding="utf-8"?>
<ds:datastoreItem xmlns:ds="http://schemas.openxmlformats.org/officeDocument/2006/customXml" ds:itemID="{82CABE56-B9BF-4B12-B669-FF87E109F5EC}">
  <ds:schemaRefs/>
</ds:datastoreItem>
</file>

<file path=customXml/itemProps10.xml><?xml version="1.0" encoding="utf-8"?>
<ds:datastoreItem xmlns:ds="http://schemas.openxmlformats.org/officeDocument/2006/customXml" ds:itemID="{5C91F2EC-D50C-455F-8437-9983CEAA9370}">
  <ds:schemaRefs>
    <ds:schemaRef ds:uri="http://schemas.microsoft.com/DataMashup"/>
  </ds:schemaRefs>
</ds:datastoreItem>
</file>

<file path=customXml/itemProps11.xml><?xml version="1.0" encoding="utf-8"?>
<ds:datastoreItem xmlns:ds="http://schemas.openxmlformats.org/officeDocument/2006/customXml" ds:itemID="{2964C30B-20F6-4832-8B40-69763C6F0653}">
  <ds:schemaRefs/>
</ds:datastoreItem>
</file>

<file path=customXml/itemProps12.xml><?xml version="1.0" encoding="utf-8"?>
<ds:datastoreItem xmlns:ds="http://schemas.openxmlformats.org/officeDocument/2006/customXml" ds:itemID="{CDCEF855-2F67-44A0-95F0-1D4094926369}">
  <ds:schemaRefs/>
</ds:datastoreItem>
</file>

<file path=customXml/itemProps13.xml><?xml version="1.0" encoding="utf-8"?>
<ds:datastoreItem xmlns:ds="http://schemas.openxmlformats.org/officeDocument/2006/customXml" ds:itemID="{EBFFA6E9-11AA-4879-8D4D-DF0A9FE39F94}">
  <ds:schemaRefs/>
</ds:datastoreItem>
</file>

<file path=customXml/itemProps14.xml><?xml version="1.0" encoding="utf-8"?>
<ds:datastoreItem xmlns:ds="http://schemas.openxmlformats.org/officeDocument/2006/customXml" ds:itemID="{051B38FB-3218-4E2C-9AA1-E71F6412CF21}">
  <ds:schemaRefs/>
</ds:datastoreItem>
</file>

<file path=customXml/itemProps15.xml><?xml version="1.0" encoding="utf-8"?>
<ds:datastoreItem xmlns:ds="http://schemas.openxmlformats.org/officeDocument/2006/customXml" ds:itemID="{57FDD7C9-8E3F-4980-B515-6F5D5B4752AD}">
  <ds:schemaRefs/>
</ds:datastoreItem>
</file>

<file path=customXml/itemProps16.xml><?xml version="1.0" encoding="utf-8"?>
<ds:datastoreItem xmlns:ds="http://schemas.openxmlformats.org/officeDocument/2006/customXml" ds:itemID="{C886D741-6F3C-4FC1-841F-5D0ED67E1B6C}">
  <ds:schemaRefs/>
</ds:datastoreItem>
</file>

<file path=customXml/itemProps17.xml><?xml version="1.0" encoding="utf-8"?>
<ds:datastoreItem xmlns:ds="http://schemas.openxmlformats.org/officeDocument/2006/customXml" ds:itemID="{77C49221-A92D-42AF-A82B-D8C4D3825FE7}">
  <ds:schemaRefs/>
</ds:datastoreItem>
</file>

<file path=customXml/itemProps18.xml><?xml version="1.0" encoding="utf-8"?>
<ds:datastoreItem xmlns:ds="http://schemas.openxmlformats.org/officeDocument/2006/customXml" ds:itemID="{8FAE61DA-855B-4487-82F4-4993341782C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user_behavior_dataset</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Anand</dc:creator>
  <cp:lastModifiedBy>Shivam Anand</cp:lastModifiedBy>
  <dcterms:created xsi:type="dcterms:W3CDTF">2026-02-03T19:07:21Z</dcterms:created>
  <dcterms:modified xsi:type="dcterms:W3CDTF">2026-02-04T19:20:21Z</dcterms:modified>
</cp:coreProperties>
</file>